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対象タスク" sheetId="2" state="visible" r:id="rId4"/>
    <sheet name="計測記録" sheetId="3" state="visible" r:id="rId5"/>
    <sheet name="集計" sheetId="4" state="visible" r:id="rId6"/>
    <sheet name="アンケート" sheetId="5" state="visible" r:id="rId7"/>
    <sheet name="費用対効果" sheetId="6" state="visible" r:id="rId8"/>
    <sheet name="セキュリティ確認" sheetId="7" state="visible" r:id="rId9"/>
    <sheet name="評価・結論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Noto Sans CJK SC"/>
            <family val="2"/>
          </rPr>
          <t xml:space="preserve">レビュー指摘やテスト不合格による修正に要した時間。</t>
        </r>
      </text>
    </comment>
    <comment ref="J4" authorId="0">
      <text>
        <r>
          <rPr>
            <sz val="10"/>
            <rFont val="Arial"/>
            <family val="2"/>
          </rPr>
          <t xml:space="preserve">Copilot</t>
        </r>
        <r>
          <rPr>
            <sz val="10"/>
            <rFont val="Noto Sans CJK SC"/>
            <family val="2"/>
          </rPr>
          <t xml:space="preserve">管理画面（利用状況メトリクス）の値、または担当者の概算。「なし」の行は空欄。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Noto Sans CJK SC"/>
            <family val="2"/>
          </rPr>
          <t xml:space="preserve">全体行の平均実効時間は、比較可</t>
        </r>
        <r>
          <rPr>
            <sz val="10"/>
            <rFont val="Arial"/>
            <family val="2"/>
          </rPr>
          <t xml:space="preserve">=1</t>
        </r>
        <r>
          <rPr>
            <sz val="10"/>
            <rFont val="Noto Sans CJK SC"/>
            <family val="2"/>
          </rPr>
          <t xml:space="preserve">のタスクの平均値の合計（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タスクずつ実施した場合の総時間に相当）</t>
        </r>
      </text>
    </comment>
  </commentList>
</comments>
</file>

<file path=xl/sharedStrings.xml><?xml version="1.0" encoding="utf-8"?>
<sst xmlns="http://schemas.openxmlformats.org/spreadsheetml/2006/main" count="408" uniqueCount="304">
  <si>
    <r>
      <rPr>
        <b val="true"/>
        <sz val="16"/>
        <color rgb="FF1F3864"/>
        <rFont val="Meiryo UI"/>
        <family val="0"/>
        <charset val="1"/>
      </rPr>
      <t xml:space="preserve">GitHub Copilot </t>
    </r>
    <r>
      <rPr>
        <b val="true"/>
        <sz val="16"/>
        <color rgb="FF1F3864"/>
        <rFont val="Noto Sans CJK SC"/>
        <family val="2"/>
      </rPr>
      <t xml:space="preserve">生産性向上検証 ― </t>
    </r>
    <r>
      <rPr>
        <b val="true"/>
        <sz val="16"/>
        <color rgb="FF1F3864"/>
        <rFont val="Meiryo UI"/>
        <family val="0"/>
        <charset val="1"/>
      </rPr>
      <t xml:space="preserve">FX</t>
    </r>
    <r>
      <rPr>
        <b val="true"/>
        <sz val="16"/>
        <color rgb="FF1F3864"/>
        <rFont val="Noto Sans CJK SC"/>
        <family val="2"/>
      </rPr>
      <t xml:space="preserve">ポジション集計バッチ</t>
    </r>
  </si>
  <si>
    <t xml:space="preserve">検証目的</t>
  </si>
  <si>
    <r>
      <rPr>
        <sz val="10"/>
        <rFont val="Meiryo UI"/>
        <family val="0"/>
        <charset val="1"/>
      </rPr>
      <t xml:space="preserve">GitHub Copilot</t>
    </r>
    <r>
      <rPr>
        <sz val="10"/>
        <rFont val="Noto Sans CJK SC"/>
        <family val="2"/>
      </rPr>
      <t xml:space="preserve">の導入により、</t>
    </r>
    <r>
      <rPr>
        <sz val="10"/>
        <rFont val="Meiryo UI"/>
        <family val="0"/>
        <charset val="1"/>
      </rPr>
      <t xml:space="preserve">Java</t>
    </r>
    <r>
      <rPr>
        <sz val="10"/>
        <rFont val="Noto Sans CJK SC"/>
        <family val="2"/>
      </rPr>
      <t xml:space="preserve">バッチ開発・保守作業の工数削減効果と品質への影響を定量・定性の両面で評価し、導入可否を判断する。</t>
    </r>
  </si>
  <si>
    <t xml:space="preserve">対象システム</t>
  </si>
  <si>
    <r>
      <rPr>
        <sz val="10"/>
        <rFont val="Meiryo UI"/>
        <family val="0"/>
        <charset val="1"/>
      </rPr>
      <t xml:space="preserve">FX</t>
    </r>
    <r>
      <rPr>
        <sz val="10"/>
        <rFont val="Noto Sans CJK SC"/>
        <family val="2"/>
      </rPr>
      <t xml:space="preserve">ポジション集計バッチ（</t>
    </r>
    <r>
      <rPr>
        <sz val="10"/>
        <rFont val="Meiryo UI"/>
        <family val="0"/>
        <charset val="1"/>
      </rPr>
      <t xml:space="preserve">JBPOS1000 / JBPOS1100</t>
    </r>
    <r>
      <rPr>
        <sz val="10"/>
        <rFont val="Noto Sans CJK SC"/>
        <family val="2"/>
      </rPr>
      <t xml:space="preserve">）
</t>
    </r>
    <r>
      <rPr>
        <sz val="10"/>
        <rFont val="Meiryo UI"/>
        <family val="0"/>
        <charset val="1"/>
      </rPr>
      <t xml:space="preserve">Java</t>
    </r>
    <r>
      <rPr>
        <sz val="10"/>
        <rFont val="Noto Sans CJK SC"/>
        <family val="2"/>
      </rPr>
      <t xml:space="preserve">（</t>
    </r>
    <r>
      <rPr>
        <sz val="10"/>
        <rFont val="Meiryo UI"/>
        <family val="0"/>
        <charset val="1"/>
      </rPr>
      <t xml:space="preserve">Terasoluna / Spring Batch</t>
    </r>
    <r>
      <rPr>
        <sz val="10"/>
        <rFont val="Noto Sans CJK SC"/>
        <family val="2"/>
      </rPr>
      <t xml:space="preserve">）、</t>
    </r>
    <r>
      <rPr>
        <sz val="10"/>
        <rFont val="Meiryo UI"/>
        <family val="0"/>
        <charset val="1"/>
      </rPr>
      <t xml:space="preserve">MyBatis</t>
    </r>
    <r>
      <rPr>
        <sz val="10"/>
        <rFont val="Noto Sans CJK SC"/>
        <family val="2"/>
      </rPr>
      <t xml:space="preserve">、</t>
    </r>
    <r>
      <rPr>
        <sz val="10"/>
        <rFont val="Meiryo UI"/>
        <family val="0"/>
        <charset val="1"/>
      </rPr>
      <t xml:space="preserve">Oracle</t>
    </r>
    <r>
      <rPr>
        <sz val="10"/>
        <rFont val="Noto Sans CJK SC"/>
        <family val="2"/>
      </rPr>
      <t xml:space="preserve">、起動シェル</t>
    </r>
  </si>
  <si>
    <t xml:space="preserve">検証期間</t>
  </si>
  <si>
    <r>
      <rPr>
        <sz val="10"/>
        <color rgb="FF0000FF"/>
        <rFont val="Meiryo UI"/>
        <family val="0"/>
        <charset val="1"/>
      </rPr>
      <t xml:space="preserve">2026/10/01 </t>
    </r>
    <r>
      <rPr>
        <sz val="10"/>
        <color rgb="FF0000FF"/>
        <rFont val="Noto Sans CJK SC"/>
        <family val="2"/>
      </rPr>
      <t xml:space="preserve">〜 </t>
    </r>
    <r>
      <rPr>
        <sz val="10"/>
        <color rgb="FF0000FF"/>
        <rFont val="Meiryo UI"/>
        <family val="0"/>
        <charset val="1"/>
      </rPr>
      <t xml:space="preserve">2026/10/31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Meiryo UI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週間、初週は慣れ期間として集計対象外）</t>
    </r>
  </si>
  <si>
    <t xml:space="preserve">対象者</t>
  </si>
  <si>
    <r>
      <rPr>
        <sz val="10"/>
        <color rgb="FF0000FF"/>
        <rFont val="Noto Sans CJK SC"/>
        <family val="2"/>
      </rPr>
      <t xml:space="preserve">開発担当 </t>
    </r>
    <r>
      <rPr>
        <sz val="10"/>
        <color rgb="FF0000FF"/>
        <rFont val="Meiryo UI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名（担当</t>
    </r>
    <r>
      <rPr>
        <sz val="10"/>
        <color rgb="FF0000FF"/>
        <rFont val="Meiryo UI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・</t>
    </r>
    <r>
      <rPr>
        <sz val="10"/>
        <color rgb="FF0000FF"/>
        <rFont val="Meiryo UI"/>
        <family val="0"/>
        <charset val="1"/>
      </rPr>
      <t xml:space="preserve">B</t>
    </r>
    <r>
      <rPr>
        <sz val="10"/>
        <color rgb="FF0000FF"/>
        <rFont val="Noto Sans CJK SC"/>
        <family val="2"/>
      </rPr>
      <t xml:space="preserve">・</t>
    </r>
    <r>
      <rPr>
        <sz val="10"/>
        <color rgb="FF0000FF"/>
        <rFont val="Meiryo UI"/>
        <family val="0"/>
        <charset val="1"/>
      </rPr>
      <t xml:space="preserve">C</t>
    </r>
    <r>
      <rPr>
        <sz val="10"/>
        <color rgb="FF0000FF"/>
        <rFont val="Noto Sans CJK SC"/>
        <family val="2"/>
      </rPr>
      <t xml:space="preserve">）</t>
    </r>
  </si>
  <si>
    <t xml:space="preserve">比較方法</t>
  </si>
  <si>
    <r>
      <rPr>
        <sz val="10"/>
        <rFont val="Noto Sans CJK SC"/>
        <family val="2"/>
      </rPr>
      <t xml:space="preserve">同種タスクを「</t>
    </r>
    <r>
      <rPr>
        <sz val="10"/>
        <rFont val="Meiryo UI"/>
        <family val="0"/>
        <charset val="1"/>
      </rPr>
      <t xml:space="preserve">Copilot</t>
    </r>
    <r>
      <rPr>
        <sz val="10"/>
        <rFont val="Noto Sans CJK SC"/>
        <family val="2"/>
      </rPr>
      <t xml:space="preserve">あり／なし」で実施し、実効時間（作業時間＋手戻り時間）を比較。可能な限り同一担当者で両方を実施し、個人差の影響を抑える。</t>
    </r>
  </si>
  <si>
    <t xml:space="preserve">評価指標</t>
  </si>
  <si>
    <r>
      <rPr>
        <sz val="10"/>
        <rFont val="Noto Sans CJK SC"/>
        <family val="2"/>
      </rPr>
      <t xml:space="preserve">【定量】実効時間・削減率、レビュー指摘数、後工程バグ数、提案採用率
【定性】開発者アンケート（</t>
    </r>
    <r>
      <rPr>
        <sz val="10"/>
        <rFont val="Meiryo UI"/>
        <family val="0"/>
        <charset val="1"/>
      </rPr>
      <t xml:space="preserve">5</t>
    </r>
    <r>
      <rPr>
        <sz val="10"/>
        <rFont val="Noto Sans CJK SC"/>
        <family val="2"/>
      </rPr>
      <t xml:space="preserve">段階評価＋自由記述）</t>
    </r>
  </si>
  <si>
    <t xml:space="preserve">判定基準</t>
  </si>
  <si>
    <t xml:space="preserve">「評価・結論」シートの目標値をすべて満たした場合に展開推奨とする。</t>
  </si>
  <si>
    <t xml:space="preserve">シート構成</t>
  </si>
  <si>
    <t xml:space="preserve">対象タスク</t>
  </si>
  <si>
    <r>
      <rPr>
        <sz val="10"/>
        <rFont val="Noto Sans CJK SC"/>
        <family val="2"/>
      </rPr>
      <t xml:space="preserve">検証対象とする作業の定義と、</t>
    </r>
    <r>
      <rPr>
        <sz val="10"/>
        <rFont val="Meiryo UI"/>
        <family val="0"/>
        <charset val="1"/>
      </rPr>
      <t xml:space="preserve">Copilot</t>
    </r>
    <r>
      <rPr>
        <sz val="10"/>
        <rFont val="Noto Sans CJK SC"/>
        <family val="2"/>
      </rPr>
      <t xml:space="preserve">の活用ポイント</t>
    </r>
  </si>
  <si>
    <t xml:space="preserve">計測記録</t>
  </si>
  <si>
    <t xml:space="preserve">タスクごとの実績を記録する入力シート（黄色セルに入力）</t>
  </si>
  <si>
    <t xml:space="preserve">集計</t>
  </si>
  <si>
    <t xml:space="preserve">あり／なしの平均時間・削減率・品質指標を自動集計（グラフ付き）</t>
  </si>
  <si>
    <t xml:space="preserve">アンケート</t>
  </si>
  <si>
    <r>
      <rPr>
        <sz val="10"/>
        <rFont val="Noto Sans CJK SC"/>
        <family val="2"/>
      </rPr>
      <t xml:space="preserve">開発者による定性評価（</t>
    </r>
    <r>
      <rPr>
        <sz val="10"/>
        <rFont val="Meiryo UI"/>
        <family val="0"/>
        <charset val="1"/>
      </rPr>
      <t xml:space="preserve">5</t>
    </r>
    <r>
      <rPr>
        <sz val="10"/>
        <rFont val="Noto Sans CJK SC"/>
        <family val="2"/>
      </rPr>
      <t xml:space="preserve">段階）</t>
    </r>
  </si>
  <si>
    <t xml:space="preserve">費用対効果</t>
  </si>
  <si>
    <t xml:space="preserve">削減時間とライセンス費用から月間・年間効果を試算</t>
  </si>
  <si>
    <t xml:space="preserve">セキュリティ確認</t>
  </si>
  <si>
    <t xml:space="preserve">金融機関として導入前に確認すべき項目のチェックリスト</t>
  </si>
  <si>
    <t xml:space="preserve">評価・結論</t>
  </si>
  <si>
    <t xml:space="preserve">目標値に対する達成判定と次のステップ</t>
  </si>
  <si>
    <t xml:space="preserve">凡例</t>
  </si>
  <si>
    <t xml:space="preserve">入力値</t>
  </si>
  <si>
    <t xml:space="preserve">黄色背景・青字：利用者が入力・変更するセル</t>
  </si>
  <si>
    <t xml:space="preserve">計算式</t>
  </si>
  <si>
    <t xml:space="preserve">灰色背景・黒字：自動計算（編集不要）</t>
  </si>
  <si>
    <t xml:space="preserve">他シート参照</t>
  </si>
  <si>
    <t xml:space="preserve">緑字：他シートの値を参照</t>
  </si>
  <si>
    <t xml:space="preserve">合計・結論</t>
  </si>
  <si>
    <t xml:space="preserve">青背景：合計行・見出し</t>
  </si>
  <si>
    <t xml:space="preserve">※ 計測記録・アンケート・セキュリティ確認に入っている値はすべて記入例（ダミー）です。実測値に置き換えてください。</t>
  </si>
  <si>
    <t xml:space="preserve">検証対象タスク定義</t>
  </si>
  <si>
    <r>
      <rPr>
        <i val="true"/>
        <sz val="9"/>
        <color rgb="FF7F7F7F"/>
        <rFont val="Noto Sans CJK SC"/>
        <family val="2"/>
      </rPr>
      <t xml:space="preserve">※ タスク</t>
    </r>
    <r>
      <rPr>
        <i val="true"/>
        <sz val="9"/>
        <color rgb="FF7F7F7F"/>
        <rFont val="Meiryo UI"/>
        <family val="0"/>
        <charset val="1"/>
      </rPr>
      <t xml:space="preserve">ID</t>
    </r>
    <r>
      <rPr>
        <i val="true"/>
        <sz val="9"/>
        <color rgb="FF7F7F7F"/>
        <rFont val="Noto Sans CJK SC"/>
        <family val="2"/>
      </rPr>
      <t xml:space="preserve">は「計測記録」「集計」で参照されます。追加する場合は集計シートの行も追加してください。</t>
    </r>
  </si>
  <si>
    <r>
      <rPr>
        <b val="true"/>
        <sz val="10"/>
        <color rgb="FFFFFFFF"/>
        <rFont val="Noto Sans CJK SC"/>
        <family val="2"/>
      </rPr>
      <t xml:space="preserve">タスク</t>
    </r>
    <r>
      <rPr>
        <b val="true"/>
        <sz val="10"/>
        <color rgb="FFFFFFFF"/>
        <rFont val="Meiryo UI"/>
        <family val="0"/>
        <charset val="1"/>
      </rPr>
      <t xml:space="preserve">ID</t>
    </r>
  </si>
  <si>
    <t xml:space="preserve">作業区分</t>
  </si>
  <si>
    <t xml:space="preserve">タスク内容</t>
  </si>
  <si>
    <t xml:space="preserve">対象（例）</t>
  </si>
  <si>
    <r>
      <rPr>
        <b val="true"/>
        <sz val="10"/>
        <color rgb="FFFFFFFF"/>
        <rFont val="Meiryo UI"/>
        <family val="0"/>
        <charset val="1"/>
      </rPr>
      <t xml:space="preserve">Copilot</t>
    </r>
    <r>
      <rPr>
        <b val="true"/>
        <sz val="10"/>
        <color rgb="FFFFFFFF"/>
        <rFont val="Noto Sans CJK SC"/>
        <family val="2"/>
      </rPr>
      <t xml:space="preserve">活用ポイント</t>
    </r>
  </si>
  <si>
    <t xml:space="preserve">期待効果</t>
  </si>
  <si>
    <t xml:space="preserve">T01</t>
  </si>
  <si>
    <t xml:space="preserve">新規実装</t>
  </si>
  <si>
    <r>
      <rPr>
        <sz val="10"/>
        <color rgb="FF0000FF"/>
        <rFont val="Noto Sans CJK SC"/>
        <family val="2"/>
      </rPr>
      <t xml:space="preserve">集計</t>
    </r>
    <r>
      <rPr>
        <sz val="10"/>
        <color rgb="FF0000FF"/>
        <rFont val="Meiryo UI"/>
        <family val="0"/>
        <charset val="1"/>
      </rPr>
      <t xml:space="preserve">Tasklet</t>
    </r>
    <r>
      <rPr>
        <sz val="10"/>
        <color rgb="FF0000FF"/>
        <rFont val="Noto Sans CJK SC"/>
        <family val="2"/>
      </rPr>
      <t xml:space="preserve">作成（通貨ペア別ポジション集計）</t>
    </r>
  </si>
  <si>
    <r>
      <rPr>
        <sz val="10"/>
        <color rgb="FF0000FF"/>
        <rFont val="Meiryo UI"/>
        <family val="0"/>
        <charset val="1"/>
      </rPr>
      <t xml:space="preserve">JBPOS1100 </t>
    </r>
    <r>
      <rPr>
        <sz val="10"/>
        <color rgb="FF0000FF"/>
        <rFont val="Noto Sans CJK SC"/>
        <family val="2"/>
      </rPr>
      <t xml:space="preserve">集計</t>
    </r>
    <r>
      <rPr>
        <sz val="10"/>
        <color rgb="FF0000FF"/>
        <rFont val="Meiryo UI"/>
        <family val="0"/>
        <charset val="1"/>
      </rPr>
      <t xml:space="preserve">Tasklet</t>
    </r>
  </si>
  <si>
    <r>
      <rPr>
        <sz val="10"/>
        <color rgb="FF0000FF"/>
        <rFont val="Noto Sans CJK SC"/>
        <family val="2"/>
      </rPr>
      <t xml:space="preserve">定型処理・ループ・</t>
    </r>
    <r>
      <rPr>
        <sz val="10"/>
        <color rgb="FF0000FF"/>
        <rFont val="Meiryo UI"/>
        <family val="0"/>
        <charset val="1"/>
      </rPr>
      <t xml:space="preserve">null</t>
    </r>
    <r>
      <rPr>
        <sz val="10"/>
        <color rgb="FF0000FF"/>
        <rFont val="Noto Sans CJK SC"/>
        <family val="2"/>
      </rPr>
      <t xml:space="preserve">判定の補完</t>
    </r>
  </si>
  <si>
    <t xml:space="preserve">中</t>
  </si>
  <si>
    <t xml:space="preserve">T02</t>
  </si>
  <si>
    <t xml:space="preserve">SQL</t>
  </si>
  <si>
    <r>
      <rPr>
        <sz val="10"/>
        <color rgb="FF0000FF"/>
        <rFont val="Meiryo UI"/>
        <family val="0"/>
        <charset val="1"/>
      </rPr>
      <t xml:space="preserve">MyBatis</t>
    </r>
    <r>
      <rPr>
        <sz val="10"/>
        <color rgb="FF0000FF"/>
        <rFont val="Noto Sans CJK SC"/>
        <family val="2"/>
      </rPr>
      <t xml:space="preserve">マッパー作成（集計</t>
    </r>
    <r>
      <rPr>
        <sz val="10"/>
        <color rgb="FF0000FF"/>
        <rFont val="Meiryo UI"/>
        <family val="0"/>
        <charset val="1"/>
      </rPr>
      <t xml:space="preserve">SQL</t>
    </r>
    <r>
      <rPr>
        <sz val="10"/>
        <color rgb="FF0000FF"/>
        <rFont val="Noto Sans CJK SC"/>
        <family val="2"/>
      </rPr>
      <t xml:space="preserve">・</t>
    </r>
    <r>
      <rPr>
        <sz val="10"/>
        <color rgb="FF0000FF"/>
        <rFont val="Meiryo UI"/>
        <family val="0"/>
        <charset val="1"/>
      </rPr>
      <t xml:space="preserve">resultMap</t>
    </r>
    <r>
      <rPr>
        <sz val="10"/>
        <color rgb="FF0000FF"/>
        <rFont val="Noto Sans CJK SC"/>
        <family val="2"/>
      </rPr>
      <t xml:space="preserve">）</t>
    </r>
  </si>
  <si>
    <t xml:space="preserve">Mapper XML / DTO</t>
  </si>
  <si>
    <r>
      <rPr>
        <sz val="10"/>
        <color rgb="FF0000FF"/>
        <rFont val="Meiryo UI"/>
        <family val="0"/>
        <charset val="1"/>
      </rPr>
      <t xml:space="preserve">resultMap</t>
    </r>
    <r>
      <rPr>
        <sz val="10"/>
        <color rgb="FF0000FF"/>
        <rFont val="Noto Sans CJK SC"/>
        <family val="2"/>
      </rPr>
      <t xml:space="preserve">・</t>
    </r>
    <r>
      <rPr>
        <sz val="10"/>
        <color rgb="FF0000FF"/>
        <rFont val="Meiryo UI"/>
        <family val="0"/>
        <charset val="1"/>
      </rPr>
      <t xml:space="preserve">DTO</t>
    </r>
    <r>
      <rPr>
        <sz val="10"/>
        <color rgb="FF0000FF"/>
        <rFont val="Noto Sans CJK SC"/>
        <family val="2"/>
      </rPr>
      <t xml:space="preserve">の</t>
    </r>
    <r>
      <rPr>
        <sz val="10"/>
        <color rgb="FF0000FF"/>
        <rFont val="Meiryo UI"/>
        <family val="0"/>
        <charset val="1"/>
      </rPr>
      <t xml:space="preserve">getter/setter</t>
    </r>
    <r>
      <rPr>
        <sz val="10"/>
        <color rgb="FF0000FF"/>
        <rFont val="Noto Sans CJK SC"/>
        <family val="2"/>
      </rPr>
      <t xml:space="preserve">生成</t>
    </r>
  </si>
  <si>
    <t xml:space="preserve">高</t>
  </si>
  <si>
    <t xml:space="preserve">T03</t>
  </si>
  <si>
    <t xml:space="preserve">テスト</t>
  </si>
  <si>
    <r>
      <rPr>
        <sz val="10"/>
        <color rgb="FF0000FF"/>
        <rFont val="Meiryo UI"/>
        <family val="0"/>
        <charset val="1"/>
      </rPr>
      <t xml:space="preserve">JUnit</t>
    </r>
    <r>
      <rPr>
        <sz val="10"/>
        <color rgb="FF0000FF"/>
        <rFont val="Noto Sans CJK SC"/>
        <family val="2"/>
      </rPr>
      <t xml:space="preserve">単体テスト作成（境界値・</t>
    </r>
    <r>
      <rPr>
        <sz val="10"/>
        <color rgb="FF0000FF"/>
        <rFont val="Meiryo UI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件・端数処理）</t>
    </r>
  </si>
  <si>
    <t xml:space="preserve">集計ロジックのテストクラス</t>
  </si>
  <si>
    <t xml:space="preserve">テストケース・テストデータの生成</t>
  </si>
  <si>
    <t xml:space="preserve">T04</t>
  </si>
  <si>
    <t xml:space="preserve">解析</t>
  </si>
  <si>
    <t xml:space="preserve">既存コード解析・処理概要書作成</t>
  </si>
  <si>
    <r>
      <rPr>
        <sz val="10"/>
        <color rgb="FF0000FF"/>
        <rFont val="Meiryo UI"/>
        <family val="0"/>
        <charset val="1"/>
      </rPr>
      <t xml:space="preserve">JBPOS1000 </t>
    </r>
    <r>
      <rPr>
        <sz val="10"/>
        <color rgb="FF0000FF"/>
        <rFont val="Noto Sans CJK SC"/>
        <family val="2"/>
      </rPr>
      <t xml:space="preserve">既存クラス</t>
    </r>
  </si>
  <si>
    <t xml:space="preserve">コードの説明・コメント生成</t>
  </si>
  <si>
    <t xml:space="preserve">T05</t>
  </si>
  <si>
    <t xml:space="preserve">リファクタリング</t>
  </si>
  <si>
    <t xml:space="preserve">大規模メソッドの分割・命名整理</t>
  </si>
  <si>
    <r>
      <rPr>
        <sz val="10"/>
        <color rgb="FF0000FF"/>
        <rFont val="Meiryo UI"/>
        <family val="0"/>
        <charset val="1"/>
      </rPr>
      <t xml:space="preserve">SwapSummary </t>
    </r>
    <r>
      <rPr>
        <sz val="10"/>
        <color rgb="FF0000FF"/>
        <rFont val="Noto Sans CJK SC"/>
        <family val="2"/>
      </rPr>
      <t xml:space="preserve">等</t>
    </r>
  </si>
  <si>
    <t xml:space="preserve">分割案の提示・重複コードの整理</t>
  </si>
  <si>
    <t xml:space="preserve">T06</t>
  </si>
  <si>
    <t xml:space="preserve">シェル</t>
  </si>
  <si>
    <t xml:space="preserve">バッチ起動シェル作成（リターンコード・ログ出力）</t>
  </si>
  <si>
    <t xml:space="preserve">起動シェル</t>
  </si>
  <si>
    <t xml:space="preserve">定型処理・エラーハンドリングの補完</t>
  </si>
  <si>
    <t xml:space="preserve">T07</t>
  </si>
  <si>
    <t xml:space="preserve">障害調査</t>
  </si>
  <si>
    <r>
      <rPr>
        <sz val="10"/>
        <color rgb="FF0000FF"/>
        <rFont val="Noto Sans CJK SC"/>
        <family val="2"/>
      </rPr>
      <t xml:space="preserve">ログ・</t>
    </r>
    <r>
      <rPr>
        <sz val="10"/>
        <color rgb="FF0000FF"/>
        <rFont val="Meiryo UI"/>
        <family val="0"/>
        <charset val="1"/>
      </rPr>
      <t xml:space="preserve">Oracle</t>
    </r>
    <r>
      <rPr>
        <sz val="10"/>
        <color rgb="FF0000FF"/>
        <rFont val="Noto Sans CJK SC"/>
        <family val="2"/>
      </rPr>
      <t xml:space="preserve">エラーの原因調査</t>
    </r>
  </si>
  <si>
    <r>
      <rPr>
        <sz val="10"/>
        <color rgb="FF0000FF"/>
        <rFont val="Noto Sans CJK SC"/>
        <family val="2"/>
      </rPr>
      <t xml:space="preserve">ログ・調査</t>
    </r>
    <r>
      <rPr>
        <sz val="10"/>
        <color rgb="FF0000FF"/>
        <rFont val="Meiryo UI"/>
        <family val="0"/>
        <charset val="1"/>
      </rPr>
      <t xml:space="preserve">SQL</t>
    </r>
  </si>
  <si>
    <r>
      <rPr>
        <sz val="10"/>
        <color rgb="FF0000FF"/>
        <rFont val="Noto Sans CJK SC"/>
        <family val="2"/>
      </rPr>
      <t xml:space="preserve">エラーの解説・調査</t>
    </r>
    <r>
      <rPr>
        <sz val="10"/>
        <color rgb="FF0000FF"/>
        <rFont val="Meiryo UI"/>
        <family val="0"/>
        <charset val="1"/>
      </rPr>
      <t xml:space="preserve">SQL</t>
    </r>
    <r>
      <rPr>
        <sz val="10"/>
        <color rgb="FF0000FF"/>
        <rFont val="Noto Sans CJK SC"/>
        <family val="2"/>
      </rPr>
      <t xml:space="preserve">の作成</t>
    </r>
  </si>
  <si>
    <t xml:space="preserve">T08</t>
  </si>
  <si>
    <t xml:space="preserve">ドキュメント</t>
  </si>
  <si>
    <t xml:space="preserve">移行マッピング表作成</t>
  </si>
  <si>
    <t xml:space="preserve">JBPOS1000→JBPOS1100</t>
  </si>
  <si>
    <t xml:space="preserve">差分の整理・説明文の作成</t>
  </si>
  <si>
    <t xml:space="preserve">計測記録（タスク実績ログ）</t>
  </si>
  <si>
    <r>
      <rPr>
        <i val="true"/>
        <sz val="9"/>
        <color rgb="FF7F7F7F"/>
        <rFont val="Noto Sans CJK SC"/>
        <family val="2"/>
      </rPr>
      <t xml:space="preserve">黄色セルに入力。作業区分・実効時間は自動計算。記入例（ダミー）</t>
    </r>
    <r>
      <rPr>
        <i val="true"/>
        <sz val="9"/>
        <color rgb="FF7F7F7F"/>
        <rFont val="Meiryo UI"/>
        <family val="0"/>
        <charset val="1"/>
      </rPr>
      <t xml:space="preserve">20</t>
    </r>
    <r>
      <rPr>
        <i val="true"/>
        <sz val="9"/>
        <color rgb="FF7F7F7F"/>
        <rFont val="Noto Sans CJK SC"/>
        <family val="2"/>
      </rPr>
      <t xml:space="preserve">行を入れています。実効時間＝作業時間＋手戻り時間。</t>
    </r>
  </si>
  <si>
    <t xml:space="preserve">No</t>
  </si>
  <si>
    <t xml:space="preserve">実施日</t>
  </si>
  <si>
    <t xml:space="preserve">担当者</t>
  </si>
  <si>
    <t xml:space="preserve">Copilot</t>
  </si>
  <si>
    <r>
      <rPr>
        <b val="true"/>
        <sz val="10"/>
        <color rgb="FFFFFFFF"/>
        <rFont val="Noto Sans CJK SC"/>
        <family val="2"/>
      </rPr>
      <t xml:space="preserve">作業時間</t>
    </r>
    <r>
      <rPr>
        <b val="true"/>
        <sz val="10"/>
        <color rgb="FFFFFFFF"/>
        <rFont val="Meiryo UI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</si>
  <si>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手戻り時間</t>
    </r>
    <r>
      <rPr>
        <b val="true"/>
        <sz val="10"/>
        <color rgb="FFFFFFFF"/>
        <rFont val="Meiryo UI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</si>
  <si>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実効時間</t>
    </r>
    <r>
      <rPr>
        <b val="true"/>
        <sz val="10"/>
        <color rgb="FFFFFFFF"/>
        <rFont val="Meiryo UI"/>
        <family val="0"/>
        <charset val="1"/>
      </rPr>
      <t xml:space="preserve">(h)</t>
    </r>
  </si>
  <si>
    <t xml:space="preserve">提案採用率</t>
  </si>
  <si>
    <t xml:space="preserve">レビュー指摘数</t>
  </si>
  <si>
    <t xml:space="preserve">後工程バグ数</t>
  </si>
  <si>
    <t xml:space="preserve">備考</t>
  </si>
  <si>
    <t xml:space="preserve">2026-10-08</t>
  </si>
  <si>
    <r>
      <rPr>
        <sz val="10"/>
        <color rgb="FF0000FF"/>
        <rFont val="Noto Sans CJK SC"/>
        <family val="2"/>
      </rPr>
      <t xml:space="preserve">担当</t>
    </r>
    <r>
      <rPr>
        <sz val="10"/>
        <color rgb="FF0000FF"/>
        <rFont val="Meiryo UI"/>
        <family val="0"/>
        <charset val="1"/>
      </rPr>
      <t xml:space="preserve">A</t>
    </r>
  </si>
  <si>
    <t xml:space="preserve">なし</t>
  </si>
  <si>
    <t xml:space="preserve">2026-10-09</t>
  </si>
  <si>
    <t xml:space="preserve">あり</t>
  </si>
  <si>
    <t xml:space="preserve">定型処理の補完が有効</t>
  </si>
  <si>
    <r>
      <rPr>
        <sz val="10"/>
        <color rgb="FF0000FF"/>
        <rFont val="Noto Sans CJK SC"/>
        <family val="2"/>
      </rPr>
      <t xml:space="preserve">担当</t>
    </r>
    <r>
      <rPr>
        <sz val="10"/>
        <color rgb="FF0000FF"/>
        <rFont val="Meiryo UI"/>
        <family val="0"/>
        <charset val="1"/>
      </rPr>
      <t xml:space="preserve">B</t>
    </r>
  </si>
  <si>
    <r>
      <rPr>
        <sz val="10"/>
        <color rgb="FF0000FF"/>
        <rFont val="Meiryo UI"/>
        <family val="0"/>
        <charset val="1"/>
      </rPr>
      <t xml:space="preserve">resultMap</t>
    </r>
    <r>
      <rPr>
        <sz val="10"/>
        <color rgb="FF0000FF"/>
        <rFont val="Noto Sans CJK SC"/>
        <family val="2"/>
      </rPr>
      <t xml:space="preserve">生成が速い</t>
    </r>
  </si>
  <si>
    <t xml:space="preserve">2026-10-10</t>
  </si>
  <si>
    <r>
      <rPr>
        <sz val="10"/>
        <color rgb="FF0000FF"/>
        <rFont val="Noto Sans CJK SC"/>
        <family val="2"/>
      </rPr>
      <t xml:space="preserve">担当</t>
    </r>
    <r>
      <rPr>
        <sz val="10"/>
        <color rgb="FF0000FF"/>
        <rFont val="Meiryo UI"/>
        <family val="0"/>
        <charset val="1"/>
      </rPr>
      <t xml:space="preserve">C</t>
    </r>
  </si>
  <si>
    <t xml:space="preserve">2026-10-13</t>
  </si>
  <si>
    <t xml:space="preserve">境界値ケースの洗い出しに有効</t>
  </si>
  <si>
    <t xml:space="preserve">コード説明機能を利用</t>
  </si>
  <si>
    <t xml:space="preserve">2026-10-14</t>
  </si>
  <si>
    <t xml:space="preserve">2026-10-15</t>
  </si>
  <si>
    <t xml:space="preserve">提案の修正に時間を要した</t>
  </si>
  <si>
    <t xml:space="preserve">2026-10-16</t>
  </si>
  <si>
    <t xml:space="preserve">2026-10-17</t>
  </si>
  <si>
    <t xml:space="preserve">環境固有の事象で効果薄</t>
  </si>
  <si>
    <t xml:space="preserve">2026-10-20</t>
  </si>
  <si>
    <t xml:space="preserve">2026-10-21</t>
  </si>
  <si>
    <r>
      <rPr>
        <b val="true"/>
        <sz val="16"/>
        <color rgb="FF1F3864"/>
        <rFont val="Noto Sans CJK SC"/>
        <family val="2"/>
      </rPr>
      <t xml:space="preserve">集計結果（</t>
    </r>
    <r>
      <rPr>
        <b val="true"/>
        <sz val="16"/>
        <color rgb="FF1F3864"/>
        <rFont val="Meiryo UI"/>
        <family val="0"/>
        <charset val="1"/>
      </rPr>
      <t xml:space="preserve">Copilot</t>
    </r>
    <r>
      <rPr>
        <b val="true"/>
        <sz val="16"/>
        <color rgb="FF1F3864"/>
        <rFont val="Noto Sans CJK SC"/>
        <family val="2"/>
      </rPr>
      <t xml:space="preserve">あり／なし比較）</t>
    </r>
  </si>
  <si>
    <t xml:space="preserve">計測記録から自動集計。全体の削減率は「あり・なし両方の実績があるタスク」の平均実効時間の合計で算出。</t>
  </si>
  <si>
    <r>
      <rPr>
        <b val="true"/>
        <sz val="10"/>
        <color rgb="FFFFFFFF"/>
        <rFont val="Noto Sans CJK SC"/>
        <family val="2"/>
      </rPr>
      <t xml:space="preserve">件数
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なし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</si>
  <si>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件数
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あり</t>
    </r>
    <r>
      <rPr>
        <b val="true"/>
        <sz val="10"/>
        <color rgb="FFFFFFFF"/>
        <rFont val="Meiryo U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</si>
  <si>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平均実効時間
なし</t>
    </r>
    <r>
      <rPr>
        <b val="true"/>
        <sz val="10"/>
        <color rgb="FFFFFFFF"/>
        <rFont val="Meiryo UI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</si>
  <si>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平均実効時間
あり</t>
    </r>
    <r>
      <rPr>
        <b val="true"/>
        <sz val="10"/>
        <color rgb="FFFFFFFF"/>
        <rFont val="Meiryo UI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</si>
  <si>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削減時間
</t>
    </r>
    <r>
      <rPr>
        <b val="true"/>
        <sz val="10"/>
        <color rgb="FFFFFFFF"/>
        <rFont val="Meiryo UI"/>
        <family val="0"/>
        <charset val="1"/>
      </rPr>
      <t xml:space="preserve">(h)</t>
    </r>
  </si>
  <si>
    <t xml:space="preserve">削減率</t>
  </si>
  <si>
    <t xml:space="preserve">平均指摘数
なし</t>
  </si>
  <si>
    <t xml:space="preserve">平均指摘数
あり</t>
  </si>
  <si>
    <t xml:space="preserve">バグ数計
なし</t>
  </si>
  <si>
    <t xml:space="preserve">バグ数計
あり</t>
  </si>
  <si>
    <r>
      <rPr>
        <b val="true"/>
        <sz val="10"/>
        <color rgb="FFFFFFFF"/>
        <rFont val="Noto Sans CJK SC"/>
        <family val="2"/>
      </rPr>
      <t xml:space="preserve">比較可
</t>
    </r>
    <r>
      <rPr>
        <b val="true"/>
        <sz val="10"/>
        <color rgb="FFFFFFFF"/>
        <rFont val="Meiryo UI"/>
        <family val="0"/>
        <charset val="1"/>
      </rPr>
      <t xml:space="preserve">(1/0)</t>
    </r>
  </si>
  <si>
    <t xml:space="preserve">全体</t>
  </si>
  <si>
    <t xml:space="preserve">平均提案採用率（ありのみ）</t>
  </si>
  <si>
    <t xml:space="preserve">※ 採用率が高くても手戻りが多ければ効果は相殺されるため、実効時間と指摘数をあわせて評価すること。</t>
  </si>
  <si>
    <t xml:space="preserve">開発者アンケート（定性評価）</t>
  </si>
  <si>
    <r>
      <rPr>
        <i val="true"/>
        <sz val="9"/>
        <color rgb="FF7F7F7F"/>
        <rFont val="Meiryo UI"/>
        <family val="0"/>
        <charset val="1"/>
      </rPr>
      <t xml:space="preserve">5</t>
    </r>
    <r>
      <rPr>
        <i val="true"/>
        <sz val="9"/>
        <color rgb="FF7F7F7F"/>
        <rFont val="Noto Sans CJK SC"/>
        <family val="2"/>
      </rPr>
      <t xml:space="preserve">段階評価：</t>
    </r>
    <r>
      <rPr>
        <i val="true"/>
        <sz val="9"/>
        <color rgb="FF7F7F7F"/>
        <rFont val="Meiryo UI"/>
        <family val="0"/>
        <charset val="1"/>
      </rPr>
      <t xml:space="preserve">5=</t>
    </r>
    <r>
      <rPr>
        <i val="true"/>
        <sz val="9"/>
        <color rgb="FF7F7F7F"/>
        <rFont val="Noto Sans CJK SC"/>
        <family val="2"/>
      </rPr>
      <t xml:space="preserve">とてもそう思う … </t>
    </r>
    <r>
      <rPr>
        <i val="true"/>
        <sz val="9"/>
        <color rgb="FF7F7F7F"/>
        <rFont val="Meiryo UI"/>
        <family val="0"/>
        <charset val="1"/>
      </rPr>
      <t xml:space="preserve">1=</t>
    </r>
    <r>
      <rPr>
        <i val="true"/>
        <sz val="9"/>
        <color rgb="FF7F7F7F"/>
        <rFont val="Noto Sans CJK SC"/>
        <family val="2"/>
      </rPr>
      <t xml:space="preserve">まったくそう思わない。逆転項目は低いほど良い評価。記入例（ダミー）入り。</t>
    </r>
  </si>
  <si>
    <t xml:space="preserve">設問</t>
  </si>
  <si>
    <t xml:space="preserve">逆転項目</t>
  </si>
  <si>
    <r>
      <rPr>
        <b val="true"/>
        <sz val="10"/>
        <color rgb="FFFFFFFF"/>
        <rFont val="Noto Sans CJK SC"/>
        <family val="2"/>
      </rPr>
      <t xml:space="preserve">回答者</t>
    </r>
    <r>
      <rPr>
        <b val="true"/>
        <sz val="10"/>
        <color rgb="FFFFFFFF"/>
        <rFont val="Meiryo UI"/>
        <family val="0"/>
        <charset val="1"/>
      </rPr>
      <t xml:space="preserve">1</t>
    </r>
  </si>
  <si>
    <r>
      <rPr>
        <b val="true"/>
        <sz val="10"/>
        <color rgb="FFFFFFFF"/>
        <rFont val="Noto Sans CJK SC"/>
        <family val="2"/>
      </rPr>
      <t xml:space="preserve">回答者</t>
    </r>
    <r>
      <rPr>
        <b val="true"/>
        <sz val="10"/>
        <color rgb="FFFFFFFF"/>
        <rFont val="Meiryo UI"/>
        <family val="0"/>
        <charset val="1"/>
      </rPr>
      <t xml:space="preserve">2</t>
    </r>
  </si>
  <si>
    <r>
      <rPr>
        <b val="true"/>
        <sz val="10"/>
        <color rgb="FFFFFFFF"/>
        <rFont val="Noto Sans CJK SC"/>
        <family val="2"/>
      </rPr>
      <t xml:space="preserve">回答者</t>
    </r>
    <r>
      <rPr>
        <b val="true"/>
        <sz val="10"/>
        <color rgb="FFFFFFFF"/>
        <rFont val="Meiryo UI"/>
        <family val="0"/>
        <charset val="1"/>
      </rPr>
      <t xml:space="preserve">3</t>
    </r>
  </si>
  <si>
    <r>
      <rPr>
        <b val="true"/>
        <sz val="10"/>
        <color rgb="FFFFFFFF"/>
        <rFont val="Noto Sans CJK SC"/>
        <family val="2"/>
      </rPr>
      <t xml:space="preserve">回答者</t>
    </r>
    <r>
      <rPr>
        <b val="true"/>
        <sz val="10"/>
        <color rgb="FFFFFFFF"/>
        <rFont val="Meiryo UI"/>
        <family val="0"/>
        <charset val="1"/>
      </rPr>
      <t xml:space="preserve">4</t>
    </r>
  </si>
  <si>
    <r>
      <rPr>
        <b val="true"/>
        <sz val="10"/>
        <color rgb="FFFFFFFF"/>
        <rFont val="Noto Sans CJK SC"/>
        <family val="2"/>
      </rPr>
      <t xml:space="preserve">回答者</t>
    </r>
    <r>
      <rPr>
        <b val="true"/>
        <sz val="10"/>
        <color rgb="FFFFFFFF"/>
        <rFont val="Meiryo UI"/>
        <family val="0"/>
        <charset val="1"/>
      </rPr>
      <t xml:space="preserve">5</t>
    </r>
  </si>
  <si>
    <t xml:space="preserve">平均</t>
  </si>
  <si>
    <r>
      <rPr>
        <sz val="10"/>
        <rFont val="Noto Sans CJK SC"/>
        <family val="2"/>
      </rPr>
      <t xml:space="preserve">定型コード（</t>
    </r>
    <r>
      <rPr>
        <sz val="10"/>
        <rFont val="Meiryo UI"/>
        <family val="0"/>
        <charset val="1"/>
      </rPr>
      <t xml:space="preserve">DTO</t>
    </r>
    <r>
      <rPr>
        <sz val="10"/>
        <rFont val="Noto Sans CJK SC"/>
        <family val="2"/>
      </rPr>
      <t xml:space="preserve">・マッパー等）の作成が速くなった</t>
    </r>
  </si>
  <si>
    <t xml:space="preserve">単体テスト作成の負担が減った</t>
  </si>
  <si>
    <r>
      <rPr>
        <sz val="10"/>
        <rFont val="Noto Sans CJK SC"/>
        <family val="2"/>
      </rPr>
      <t xml:space="preserve">既存コード（</t>
    </r>
    <r>
      <rPr>
        <sz val="10"/>
        <rFont val="Meiryo UI"/>
        <family val="0"/>
        <charset val="1"/>
      </rPr>
      <t xml:space="preserve">JBPOS1000</t>
    </r>
    <r>
      <rPr>
        <sz val="10"/>
        <rFont val="Noto Sans CJK SC"/>
        <family val="2"/>
      </rPr>
      <t xml:space="preserve">）の理解が早くなった</t>
    </r>
  </si>
  <si>
    <t xml:space="preserve">提案コードの品質は信頼できる</t>
  </si>
  <si>
    <t xml:space="preserve">提案の確認・修正に時間がかかる</t>
  </si>
  <si>
    <t xml:space="preserve">○</t>
  </si>
  <si>
    <t xml:space="preserve">作業への集中を妨げられなかった</t>
  </si>
  <si>
    <t xml:space="preserve">今後も業務で利用したい</t>
  </si>
  <si>
    <t xml:space="preserve">他のメンバーにも勧めたい</t>
  </si>
  <si>
    <t xml:space="preserve">自由記述（効果があった場面・困った点・改善要望）</t>
  </si>
  <si>
    <t xml:space="preserve">回答者</t>
  </si>
  <si>
    <t xml:space="preserve">内容</t>
  </si>
  <si>
    <r>
      <rPr>
        <sz val="10"/>
        <color rgb="FF0000FF"/>
        <rFont val="Noto Sans CJK SC"/>
        <family val="2"/>
      </rPr>
      <t xml:space="preserve">回答者</t>
    </r>
    <r>
      <rPr>
        <sz val="10"/>
        <color rgb="FF0000FF"/>
        <rFont val="Meiryo UI"/>
        <family val="0"/>
        <charset val="1"/>
      </rPr>
      <t xml:space="preserve">1</t>
    </r>
  </si>
  <si>
    <r>
      <rPr>
        <sz val="10"/>
        <color rgb="FF0000FF"/>
        <rFont val="Meiryo UI"/>
        <family val="0"/>
        <charset val="1"/>
      </rPr>
      <t xml:space="preserve">MyBatis</t>
    </r>
    <r>
      <rPr>
        <sz val="10"/>
        <color rgb="FF0000FF"/>
        <rFont val="Noto Sans CJK SC"/>
        <family val="2"/>
      </rPr>
      <t xml:space="preserve">の</t>
    </r>
    <r>
      <rPr>
        <sz val="10"/>
        <color rgb="FF0000FF"/>
        <rFont val="Meiryo UI"/>
        <family val="0"/>
        <charset val="1"/>
      </rPr>
      <t xml:space="preserve">resultMap</t>
    </r>
    <r>
      <rPr>
        <sz val="10"/>
        <color rgb="FF0000FF"/>
        <rFont val="Noto Sans CJK SC"/>
        <family val="2"/>
      </rPr>
      <t xml:space="preserve">や</t>
    </r>
    <r>
      <rPr>
        <sz val="10"/>
        <color rgb="FF0000FF"/>
        <rFont val="Meiryo UI"/>
        <family val="0"/>
        <charset val="1"/>
      </rPr>
      <t xml:space="preserve">DTO</t>
    </r>
    <r>
      <rPr>
        <sz val="10"/>
        <color rgb="FF0000FF"/>
        <rFont val="Noto Sans CJK SC"/>
        <family val="2"/>
      </rPr>
      <t xml:space="preserve">作成は大幅に短縮できた。業務固有の計算ロジックは提案精度が低い。</t>
    </r>
  </si>
  <si>
    <r>
      <rPr>
        <sz val="10"/>
        <color rgb="FF0000FF"/>
        <rFont val="Noto Sans CJK SC"/>
        <family val="2"/>
      </rPr>
      <t xml:space="preserve">回答者</t>
    </r>
    <r>
      <rPr>
        <sz val="10"/>
        <color rgb="FF0000FF"/>
        <rFont val="Meiryo UI"/>
        <family val="0"/>
        <charset val="1"/>
      </rPr>
      <t xml:space="preserve">2</t>
    </r>
  </si>
  <si>
    <t xml:space="preserve">リファクタリングは提案をそのまま使えず、確認に時間がかかった。</t>
  </si>
  <si>
    <r>
      <rPr>
        <sz val="10"/>
        <color rgb="FF0000FF"/>
        <rFont val="Noto Sans CJK SC"/>
        <family val="2"/>
      </rPr>
      <t xml:space="preserve">回答者</t>
    </r>
    <r>
      <rPr>
        <sz val="10"/>
        <color rgb="FF0000FF"/>
        <rFont val="Meiryo UI"/>
        <family val="0"/>
        <charset val="1"/>
      </rPr>
      <t xml:space="preserve">3</t>
    </r>
  </si>
  <si>
    <t xml:space="preserve">テストケースの観点漏れに気づけた。社内フレームワーク固有の書き方は学習が必要。</t>
  </si>
  <si>
    <t xml:space="preserve">費用対効果の試算</t>
  </si>
  <si>
    <t xml:space="preserve">黄色セルを自組織の条件に合わせて変更してください。削減率は集計シートの実測値を参照します。</t>
  </si>
  <si>
    <t xml:space="preserve">項目</t>
  </si>
  <si>
    <t xml:space="preserve">値</t>
  </si>
  <si>
    <t xml:space="preserve">単位</t>
  </si>
  <si>
    <t xml:space="preserve">根拠・備考</t>
  </si>
  <si>
    <t xml:space="preserve">展開対象の開発者数</t>
  </si>
  <si>
    <t xml:space="preserve">人</t>
  </si>
  <si>
    <t xml:space="preserve">展開を想定する人数</t>
  </si>
  <si>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人あたり月間の開発・保守作業時間</t>
    </r>
  </si>
  <si>
    <r>
      <rPr>
        <sz val="10"/>
        <rFont val="Meiryo UI"/>
        <family val="0"/>
        <charset val="1"/>
      </rPr>
      <t xml:space="preserve">h/</t>
    </r>
    <r>
      <rPr>
        <sz val="10"/>
        <rFont val="Noto Sans CJK SC"/>
        <family val="2"/>
      </rPr>
      <t xml:space="preserve">月</t>
    </r>
  </si>
  <si>
    <t xml:space="preserve">会議・運用作業等を除いた実作業時間の想定</t>
  </si>
  <si>
    <r>
      <rPr>
        <b val="true"/>
        <sz val="10"/>
        <rFont val="Meiryo UI"/>
        <family val="0"/>
        <charset val="1"/>
      </rPr>
      <t xml:space="preserve">Copilot</t>
    </r>
    <r>
      <rPr>
        <b val="true"/>
        <sz val="10"/>
        <rFont val="Noto Sans CJK SC"/>
        <family val="2"/>
      </rPr>
      <t xml:space="preserve">を適用できる作業の比率</t>
    </r>
  </si>
  <si>
    <t xml:space="preserve">コーディング・テスト・解析等の比率の想定</t>
  </si>
  <si>
    <t xml:space="preserve">検証で得られた削減率</t>
  </si>
  <si>
    <t xml:space="preserve">集計シートの全体削減率（実測）</t>
  </si>
  <si>
    <t xml:space="preserve">保守的補正係数</t>
  </si>
  <si>
    <t xml:space="preserve">検証タスクは効果が出やすいものを選定しているため、実業務では割り引いて見積もる</t>
  </si>
  <si>
    <t xml:space="preserve">時間単価</t>
  </si>
  <si>
    <r>
      <rPr>
        <sz val="10"/>
        <rFont val="Noto Sans CJK SC"/>
        <family val="2"/>
      </rPr>
      <t xml:space="preserve">円</t>
    </r>
    <r>
      <rPr>
        <sz val="10"/>
        <rFont val="Meiryo UI"/>
        <family val="0"/>
        <charset val="1"/>
      </rPr>
      <t xml:space="preserve">/h</t>
    </r>
  </si>
  <si>
    <t xml:space="preserve">社内標準単価または委託単価</t>
  </si>
  <si>
    <t xml:space="preserve">ライセンス費</t>
  </si>
  <si>
    <r>
      <rPr>
        <sz val="10"/>
        <rFont val="Meiryo UI"/>
        <family val="0"/>
        <charset val="1"/>
      </rPr>
      <t xml:space="preserve">USD/</t>
    </r>
    <r>
      <rPr>
        <sz val="10"/>
        <rFont val="Noto Sans CJK SC"/>
        <family val="2"/>
      </rPr>
      <t xml:space="preserve">人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月</t>
    </r>
  </si>
  <si>
    <r>
      <rPr>
        <sz val="10"/>
        <rFont val="Meiryo UI"/>
        <family val="0"/>
        <charset val="1"/>
      </rPr>
      <t xml:space="preserve">Copilot Business</t>
    </r>
    <r>
      <rPr>
        <sz val="10"/>
        <rFont val="Noto Sans CJK SC"/>
        <family val="2"/>
      </rPr>
      <t xml:space="preserve">を想定。契約プラン・最新価格を要確認</t>
    </r>
  </si>
  <si>
    <t xml:space="preserve">為替レート</t>
  </si>
  <si>
    <r>
      <rPr>
        <sz val="10"/>
        <rFont val="Noto Sans CJK SC"/>
        <family val="2"/>
      </rPr>
      <t xml:space="preserve">円</t>
    </r>
    <r>
      <rPr>
        <sz val="10"/>
        <rFont val="Meiryo UI"/>
        <family val="0"/>
        <charset val="1"/>
      </rPr>
      <t xml:space="preserve">/USD</t>
    </r>
  </si>
  <si>
    <t xml:space="preserve">試算用の想定レート</t>
  </si>
  <si>
    <t xml:space="preserve">初期導入・教育コスト（一時費用）</t>
  </si>
  <si>
    <t xml:space="preserve">円</t>
  </si>
  <si>
    <t xml:space="preserve">環境整備、利用ガイドライン作成、研修等</t>
  </si>
  <si>
    <t xml:space="preserve">試算結果</t>
  </si>
  <si>
    <t xml:space="preserve">月間削減時間</t>
  </si>
  <si>
    <r>
      <rPr>
        <sz val="10"/>
        <rFont val="Noto Sans CJK SC"/>
        <family val="2"/>
      </rPr>
      <t xml:space="preserve">人数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作業時間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適用比率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削減率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補正係数</t>
    </r>
  </si>
  <si>
    <t xml:space="preserve">月間削減効果</t>
  </si>
  <si>
    <r>
      <rPr>
        <sz val="10"/>
        <rFont val="Noto Sans CJK SC"/>
        <family val="2"/>
      </rPr>
      <t xml:space="preserve">円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月</t>
    </r>
  </si>
  <si>
    <r>
      <rPr>
        <sz val="10"/>
        <rFont val="Noto Sans CJK SC"/>
        <family val="2"/>
      </rPr>
      <t xml:space="preserve">月間削減時間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時間単価</t>
    </r>
  </si>
  <si>
    <t xml:space="preserve">月間ライセンス費</t>
  </si>
  <si>
    <r>
      <rPr>
        <sz val="10"/>
        <rFont val="Noto Sans CJK SC"/>
        <family val="2"/>
      </rPr>
      <t xml:space="preserve">人数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ライセンス費</t>
    </r>
    <r>
      <rPr>
        <sz val="10"/>
        <rFont val="Meiryo UI"/>
        <family val="0"/>
        <charset val="1"/>
      </rPr>
      <t xml:space="preserve">×</t>
    </r>
    <r>
      <rPr>
        <sz val="10"/>
        <rFont val="Noto Sans CJK SC"/>
        <family val="2"/>
      </rPr>
      <t xml:space="preserve">為替</t>
    </r>
  </si>
  <si>
    <t xml:space="preserve">月間純効果</t>
  </si>
  <si>
    <t xml:space="preserve">削減効果−ライセンス費</t>
  </si>
  <si>
    <t xml:space="preserve">年間純効果（初期費用控除後）</t>
  </si>
  <si>
    <r>
      <rPr>
        <sz val="10"/>
        <rFont val="Noto Sans CJK SC"/>
        <family val="2"/>
      </rPr>
      <t xml:space="preserve">円</t>
    </r>
    <r>
      <rPr>
        <sz val="10"/>
        <rFont val="Meiryo UI"/>
        <family val="0"/>
        <charset val="1"/>
      </rPr>
      <t xml:space="preserve">/</t>
    </r>
    <r>
      <rPr>
        <sz val="10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</si>
  <si>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月間純効果</t>
    </r>
    <r>
      <rPr>
        <sz val="10"/>
        <rFont val="Meiryo UI"/>
        <family val="0"/>
        <charset val="1"/>
      </rPr>
      <t xml:space="preserve">×12−</t>
    </r>
    <r>
      <rPr>
        <sz val="10"/>
        <rFont val="Noto Sans CJK SC"/>
        <family val="2"/>
      </rPr>
      <t xml:space="preserve">初期費用</t>
    </r>
  </si>
  <si>
    <t xml:space="preserve">投資回収期間</t>
  </si>
  <si>
    <t xml:space="preserve">か月</t>
  </si>
  <si>
    <r>
      <rPr>
        <sz val="10"/>
        <rFont val="Noto Sans CJK SC"/>
        <family val="2"/>
      </rPr>
      <t xml:space="preserve">初期費用</t>
    </r>
    <r>
      <rPr>
        <sz val="10"/>
        <rFont val="Meiryo UI"/>
        <family val="0"/>
        <charset val="1"/>
      </rPr>
      <t xml:space="preserve">÷</t>
    </r>
    <r>
      <rPr>
        <sz val="10"/>
        <rFont val="Noto Sans CJK SC"/>
        <family val="2"/>
      </rPr>
      <t xml:space="preserve">月間純効果</t>
    </r>
  </si>
  <si>
    <r>
      <rPr>
        <b val="true"/>
        <sz val="10"/>
        <rFont val="Noto Sans CJK SC"/>
        <family val="2"/>
      </rPr>
      <t xml:space="preserve">初年度</t>
    </r>
    <r>
      <rPr>
        <b val="true"/>
        <sz val="10"/>
        <rFont val="Meiryo UI"/>
        <family val="0"/>
        <charset val="1"/>
      </rPr>
      <t xml:space="preserve">ROI</t>
    </r>
  </si>
  <si>
    <r>
      <rPr>
        <sz val="10"/>
        <rFont val="Noto Sans CJK SC"/>
        <family val="2"/>
      </rPr>
      <t xml:space="preserve">年間純効果</t>
    </r>
    <r>
      <rPr>
        <sz val="10"/>
        <rFont val="Meiryo UI"/>
        <family val="0"/>
        <charset val="1"/>
      </rPr>
      <t xml:space="preserve">÷</t>
    </r>
    <r>
      <rPr>
        <sz val="10"/>
        <rFont val="Noto Sans CJK SC"/>
        <family val="2"/>
      </rPr>
      <t xml:space="preserve">（年間ライセンス費＋初期費用）</t>
    </r>
  </si>
  <si>
    <t xml:space="preserve">※ 削減時間は「空いた時間を他の作業に充てられる」ことを前提とした理論値。実際の効果は品質向上・属人化解消など金額換算しにくい効果も含めて説明すること。</t>
  </si>
  <si>
    <t xml:space="preserve">セキュリティ・コンプライアンス確認チェックリスト</t>
  </si>
  <si>
    <t xml:space="preserve">状況はプルダウンで選択。確認結果・根拠資料を備考に記載。記入例（ダミー）入り。</t>
  </si>
  <si>
    <t xml:space="preserve">分類</t>
  </si>
  <si>
    <t xml:space="preserve">確認項目</t>
  </si>
  <si>
    <t xml:space="preserve">確認観点</t>
  </si>
  <si>
    <t xml:space="preserve">状況</t>
  </si>
  <si>
    <t xml:space="preserve">担当部署</t>
  </si>
  <si>
    <t xml:space="preserve">備考・根拠</t>
  </si>
  <si>
    <t xml:space="preserve">ネットワーク</t>
  </si>
  <si>
    <t xml:space="preserve">閉域網からの接続可否</t>
  </si>
  <si>
    <r>
      <rPr>
        <sz val="10"/>
        <rFont val="Noto Sans CJK SC"/>
        <family val="2"/>
      </rPr>
      <t xml:space="preserve">業務端末から</t>
    </r>
    <r>
      <rPr>
        <sz val="10"/>
        <rFont val="Meiryo UI"/>
        <family val="0"/>
        <charset val="1"/>
      </rPr>
      <t xml:space="preserve">GitHub</t>
    </r>
    <r>
      <rPr>
        <sz val="10"/>
        <rFont val="Noto Sans CJK SC"/>
        <family val="2"/>
      </rPr>
      <t xml:space="preserve">への通信経路（プロキシ・</t>
    </r>
    <r>
      <rPr>
        <sz val="10"/>
        <rFont val="Meiryo UI"/>
        <family val="0"/>
        <charset val="1"/>
      </rPr>
      <t xml:space="preserve">FW</t>
    </r>
    <r>
      <rPr>
        <sz val="10"/>
        <rFont val="Noto Sans CJK SC"/>
        <family val="2"/>
      </rPr>
      <t xml:space="preserve">許可ドメイン）が社内規程上許容されるか</t>
    </r>
  </si>
  <si>
    <t xml:space="preserve">確認中</t>
  </si>
  <si>
    <t xml:space="preserve">インフラ</t>
  </si>
  <si>
    <t xml:space="preserve">データ</t>
  </si>
  <si>
    <t xml:space="preserve">送信されるデータの範囲</t>
  </si>
  <si>
    <t xml:space="preserve">エディタ上のコード・周辺ファイルがどこまで送信されるか、保存期間はどうか</t>
  </si>
  <si>
    <t xml:space="preserve">確認済</t>
  </si>
  <si>
    <t xml:space="preserve">情報セキュリティ</t>
  </si>
  <si>
    <t xml:space="preserve">学習への利用有無</t>
  </si>
  <si>
    <t xml:space="preserve">契約プランで入力コードがモデル学習に利用されない条件か</t>
  </si>
  <si>
    <t xml:space="preserve">機密ファイルの除外</t>
  </si>
  <si>
    <r>
      <rPr>
        <sz val="10"/>
        <rFont val="Noto Sans CJK SC"/>
        <family val="2"/>
      </rPr>
      <t xml:space="preserve">接続情報・顧客データ等を含むファイルを</t>
    </r>
    <r>
      <rPr>
        <sz val="10"/>
        <rFont val="Meiryo UI"/>
        <family val="0"/>
        <charset val="1"/>
      </rPr>
      <t xml:space="preserve">Copilot</t>
    </r>
    <r>
      <rPr>
        <sz val="10"/>
        <rFont val="Noto Sans CJK SC"/>
        <family val="2"/>
      </rPr>
      <t xml:space="preserve">の対象から除外できるか</t>
    </r>
  </si>
  <si>
    <t xml:space="preserve">開発</t>
  </si>
  <si>
    <t xml:space="preserve">プロンプトへの機密情報入力禁止</t>
  </si>
  <si>
    <t xml:space="preserve">顧客情報・口座情報・本番データをチャットに入力しないルールがあるか</t>
  </si>
  <si>
    <t xml:space="preserve">知的財産</t>
  </si>
  <si>
    <t xml:space="preserve">公開コードとの一致</t>
  </si>
  <si>
    <t xml:space="preserve">公開コードと一致する提案をブロックする設定を有効化しているか</t>
  </si>
  <si>
    <t xml:space="preserve">品質</t>
  </si>
  <si>
    <t xml:space="preserve">生成コードのレビュー</t>
  </si>
  <si>
    <r>
      <rPr>
        <sz val="10"/>
        <rFont val="Meiryo UI"/>
        <family val="0"/>
        <charset val="1"/>
      </rPr>
      <t xml:space="preserve">Copilot</t>
    </r>
    <r>
      <rPr>
        <sz val="10"/>
        <rFont val="Noto Sans CJK SC"/>
        <family val="2"/>
      </rPr>
      <t xml:space="preserve">生成コードも通常と同じレビュー・テストを必須とするか</t>
    </r>
  </si>
  <si>
    <t xml:space="preserve">アカウント</t>
  </si>
  <si>
    <t xml:space="preserve">アカウント・権限管理</t>
  </si>
  <si>
    <t xml:space="preserve">組織アカウントでの一元管理、退職・異動時の権限削除手順があるか</t>
  </si>
  <si>
    <t xml:space="preserve">情報システム</t>
  </si>
  <si>
    <t xml:space="preserve">監査</t>
  </si>
  <si>
    <t xml:space="preserve">利用ログ・監査</t>
  </si>
  <si>
    <t xml:space="preserve">利用状況・監査ログを取得・保管できるか</t>
  </si>
  <si>
    <t xml:space="preserve">未確認</t>
  </si>
  <si>
    <t xml:space="preserve">規程</t>
  </si>
  <si>
    <t xml:space="preserve">社内規程・外部基準との整合</t>
  </si>
  <si>
    <r>
      <rPr>
        <sz val="10"/>
        <rFont val="Noto Sans CJK SC"/>
        <family val="2"/>
      </rPr>
      <t xml:space="preserve">社内の生成</t>
    </r>
    <r>
      <rPr>
        <sz val="10"/>
        <rFont val="Meiryo UI"/>
        <family val="0"/>
        <charset val="1"/>
      </rPr>
      <t xml:space="preserve">AI</t>
    </r>
    <r>
      <rPr>
        <sz val="10"/>
        <rFont val="Noto Sans CJK SC"/>
        <family val="2"/>
      </rPr>
      <t xml:space="preserve">利用規程、</t>
    </r>
    <r>
      <rPr>
        <sz val="10"/>
        <rFont val="Meiryo UI"/>
        <family val="0"/>
        <charset val="1"/>
      </rPr>
      <t xml:space="preserve">FISC</t>
    </r>
    <r>
      <rPr>
        <sz val="10"/>
        <rFont val="Noto Sans CJK SC"/>
        <family val="2"/>
      </rPr>
      <t xml:space="preserve">安全対策基準等との整合を確認したか</t>
    </r>
  </si>
  <si>
    <t xml:space="preserve">リスク管理</t>
  </si>
  <si>
    <t xml:space="preserve">確認済件数</t>
  </si>
  <si>
    <t xml:space="preserve">対象件数（対象外を除く）</t>
  </si>
  <si>
    <t xml:space="preserve">確認完了率</t>
  </si>
  <si>
    <t xml:space="preserve">目標値（黄色）は検証開始前に関係者と合意しておくこと。実績は各シートから自動参照。</t>
  </si>
  <si>
    <t xml:space="preserve">目標値</t>
  </si>
  <si>
    <t xml:space="preserve">条件</t>
  </si>
  <si>
    <t xml:space="preserve">実績</t>
  </si>
  <si>
    <t xml:space="preserve">判定</t>
  </si>
  <si>
    <t xml:space="preserve">説明</t>
  </si>
  <si>
    <t xml:space="preserve">全体削減率</t>
  </si>
  <si>
    <t xml:space="preserve">以上</t>
  </si>
  <si>
    <t xml:space="preserve">比較可能なタスクの平均実効時間ベース</t>
  </si>
  <si>
    <r>
      <rPr>
        <b val="true"/>
        <sz val="10"/>
        <rFont val="Noto Sans CJK SC"/>
        <family val="2"/>
      </rPr>
      <t xml:space="preserve">レビュー指摘数の比率（あり</t>
    </r>
    <r>
      <rPr>
        <b val="true"/>
        <sz val="10"/>
        <rFont val="Meiryo UI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なし）</t>
    </r>
  </si>
  <si>
    <t xml:space="preserve">以下</t>
  </si>
  <si>
    <t xml:space="preserve">品質が悪化していないことの確認</t>
  </si>
  <si>
    <t xml:space="preserve">後工程バグ数の差（あり−なし）</t>
  </si>
  <si>
    <r>
      <rPr>
        <sz val="10"/>
        <rFont val="Meiryo UI"/>
        <family val="0"/>
        <charset val="1"/>
      </rPr>
      <t xml:space="preserve">Copilot</t>
    </r>
    <r>
      <rPr>
        <sz val="10"/>
        <rFont val="Noto Sans CJK SC"/>
        <family val="2"/>
      </rPr>
      <t xml:space="preserve">利用でバグが増えていないこと</t>
    </r>
  </si>
  <si>
    <t xml:space="preserve">アンケート「今後も利用したい」平均</t>
  </si>
  <si>
    <t xml:space="preserve">開発者の受容性</t>
  </si>
  <si>
    <t xml:space="preserve">セキュリティ確認完了率</t>
  </si>
  <si>
    <t xml:space="preserve">導入の前提条件</t>
  </si>
  <si>
    <t xml:space="preserve">総合判定</t>
  </si>
  <si>
    <t xml:space="preserve">考察（記入欄）</t>
  </si>
  <si>
    <r>
      <rPr>
        <sz val="10"/>
        <color rgb="FF0000FF"/>
        <rFont val="Noto Sans CJK SC"/>
        <family val="2"/>
      </rPr>
      <t xml:space="preserve">効果が大きかった作業：（例）</t>
    </r>
    <r>
      <rPr>
        <sz val="10"/>
        <color rgb="FF0000FF"/>
        <rFont val="Meiryo UI"/>
        <family val="0"/>
        <charset val="1"/>
      </rPr>
      <t xml:space="preserve">MyBatis</t>
    </r>
    <r>
      <rPr>
        <sz val="10"/>
        <color rgb="FF0000FF"/>
        <rFont val="Noto Sans CJK SC"/>
        <family val="2"/>
      </rPr>
      <t xml:space="preserve">マッパー・</t>
    </r>
    <r>
      <rPr>
        <sz val="10"/>
        <color rgb="FF0000FF"/>
        <rFont val="Meiryo UI"/>
        <family val="0"/>
        <charset val="1"/>
      </rPr>
      <t xml:space="preserve">DTO</t>
    </r>
    <r>
      <rPr>
        <sz val="10"/>
        <color rgb="FF0000FF"/>
        <rFont val="Noto Sans CJK SC"/>
        <family val="2"/>
      </rPr>
      <t xml:space="preserve">作成、単体テスト作成、既存コード解析</t>
    </r>
  </si>
  <si>
    <t xml:space="preserve">効果が小さかった作業：（例）障害調査、業務固有ロジックのリファクタリング</t>
  </si>
  <si>
    <t xml:space="preserve">品質面の所見：（例）指摘数は同等。リファクタリングで手戻りが増加 → 利用ガイドラインで注意喚起</t>
  </si>
  <si>
    <t xml:space="preserve">課題・リスク：（例）閉域網からの接続方式、監査ログ取得方法が未確定</t>
  </si>
  <si>
    <t xml:space="preserve">次のステップ（段階的展開案）</t>
  </si>
  <si>
    <t xml:space="preserve">フェーズ</t>
  </si>
  <si>
    <t xml:space="preserve">期間（目安）</t>
  </si>
  <si>
    <t xml:space="preserve">対象</t>
  </si>
  <si>
    <t xml:space="preserve">実施内容</t>
  </si>
  <si>
    <r>
      <rPr>
        <b val="true"/>
        <sz val="10"/>
        <rFont val="Meiryo UI"/>
        <family val="0"/>
        <charset val="1"/>
      </rPr>
      <t xml:space="preserve">Phase 1</t>
    </r>
    <r>
      <rPr>
        <b val="true"/>
        <sz val="10"/>
        <rFont val="Noto Sans CJK SC"/>
        <family val="2"/>
      </rPr>
      <t xml:space="preserve">：パイロット（本検証）</t>
    </r>
  </si>
  <si>
    <r>
      <rPr>
        <sz val="10"/>
        <color rgb="FF0000FF"/>
        <rFont val="Meiryo UI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か月</t>
    </r>
  </si>
  <si>
    <r>
      <rPr>
        <sz val="10"/>
        <color rgb="FF0000FF"/>
        <rFont val="Noto Sans CJK SC"/>
        <family val="2"/>
      </rPr>
      <t xml:space="preserve">本チーム</t>
    </r>
    <r>
      <rPr>
        <sz val="10"/>
        <color rgb="FF0000FF"/>
        <rFont val="Meiryo UI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名</t>
    </r>
  </si>
  <si>
    <t xml:space="preserve">効果測定・セキュリティ確認</t>
  </si>
  <si>
    <r>
      <rPr>
        <b val="true"/>
        <sz val="10"/>
        <rFont val="Meiryo UI"/>
        <family val="0"/>
        <charset val="1"/>
      </rPr>
      <t xml:space="preserve">Phase 2</t>
    </r>
    <r>
      <rPr>
        <b val="true"/>
        <sz val="10"/>
        <rFont val="Noto Sans CJK SC"/>
        <family val="2"/>
      </rPr>
      <t xml:space="preserve">：対象拡大</t>
    </r>
  </si>
  <si>
    <r>
      <rPr>
        <sz val="10"/>
        <color rgb="FF0000FF"/>
        <rFont val="Meiryo UI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か月</t>
    </r>
  </si>
  <si>
    <t xml:space="preserve">バッチ開発チーム全体</t>
  </si>
  <si>
    <t xml:space="preserve">利用ガイドライン整備、効果の継続測定</t>
  </si>
  <si>
    <r>
      <rPr>
        <b val="true"/>
        <sz val="10"/>
        <rFont val="Meiryo UI"/>
        <family val="0"/>
        <charset val="1"/>
      </rPr>
      <t xml:space="preserve">Phase 3</t>
    </r>
    <r>
      <rPr>
        <b val="true"/>
        <sz val="10"/>
        <rFont val="Noto Sans CJK SC"/>
        <family val="2"/>
      </rPr>
      <t xml:space="preserve">：全社展開</t>
    </r>
  </si>
  <si>
    <r>
      <rPr>
        <sz val="10"/>
        <color rgb="FF0000FF"/>
        <rFont val="Meiryo UI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か月〜</t>
    </r>
  </si>
  <si>
    <t xml:space="preserve">開発部門全体</t>
  </si>
  <si>
    <t xml:space="preserve">研修実施、利用状況の定期モニタリング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</si>
</sst>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"/>
    <numFmt numFmtId="166" formatCode="0%"/>
    <numFmt numFmtId="167" formatCode="0"/>
    <numFmt numFmtId="168" formatCode="0.0;\-0.0;\-"/>
    <numFmt numFmtId="169" formatCode="0.0;[RED]\-0.0;\-"/>
    <numFmt numFmtId="170" formatCode="0.0%;[RED]\-0.0%;\-"/>
    <numFmt numFmtId="171" formatCode="0.0;[RED]\-0.0"/>
    <numFmt numFmtId="172" formatCode="0.0%"/>
    <numFmt numFmtId="173" formatCode="0.00"/>
    <numFmt numFmtId="174" formatCode="#,##0"/>
    <numFmt numFmtId="175" formatCode="#,##0.0"/>
    <numFmt numFmtId="176" formatCode="#,##0;[RED]\-#,##0"/>
    <numFmt numFmtId="177" formatCode="0%;[RED]\-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Meiryo UI"/>
      <family val="0"/>
      <charset val="1"/>
    </font>
    <font>
      <b val="true"/>
      <sz val="16"/>
      <color rgb="FF1F3864"/>
      <name val="Noto Sans CJK SC"/>
      <family val="2"/>
    </font>
    <font>
      <b val="true"/>
      <sz val="10"/>
      <name val="Noto Sans CJK SC"/>
      <family val="2"/>
    </font>
    <font>
      <sz val="10"/>
      <name val="Meiryo UI"/>
      <family val="0"/>
      <charset val="1"/>
    </font>
    <font>
      <sz val="10"/>
      <name val="Noto Sans CJK SC"/>
      <family val="2"/>
    </font>
    <font>
      <sz val="10"/>
      <color rgb="FF0000FF"/>
      <name val="Meiryo UI"/>
      <family val="0"/>
      <charset val="1"/>
    </font>
    <font>
      <sz val="10"/>
      <color rgb="FF0000FF"/>
      <name val="Noto Sans CJK SC"/>
      <family val="2"/>
    </font>
    <font>
      <b val="true"/>
      <sz val="12"/>
      <color rgb="FF1F3864"/>
      <name val="Noto Sans CJK SC"/>
      <family val="2"/>
    </font>
    <font>
      <sz val="10"/>
      <color rgb="FF008000"/>
      <name val="Noto Sans CJK SC"/>
      <family val="2"/>
    </font>
    <font>
      <b val="true"/>
      <sz val="10"/>
      <color rgb="FFC00000"/>
      <name val="Noto Sans CJK SC"/>
      <family val="2"/>
    </font>
    <font>
      <i val="true"/>
      <sz val="9"/>
      <color rgb="FF7F7F7F"/>
      <name val="Noto Sans CJK SC"/>
      <family val="2"/>
    </font>
    <font>
      <i val="true"/>
      <sz val="9"/>
      <color rgb="FF7F7F7F"/>
      <name val="Meiryo UI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Meiryo UI"/>
      <family val="0"/>
      <charset val="1"/>
    </font>
    <font>
      <sz val="10"/>
      <name val="Arial"/>
      <family val="2"/>
    </font>
    <font>
      <sz val="10"/>
      <color rgb="FF008000"/>
      <name val="Meiryo UI"/>
      <family val="0"/>
      <charset val="1"/>
    </font>
    <font>
      <b val="true"/>
      <sz val="10"/>
      <name val="Meiryo UI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b val="true"/>
      <sz val="12"/>
      <name val="Noto Sans CJK SC"/>
      <family val="2"/>
    </font>
    <font>
      <b val="true"/>
      <sz val="12"/>
      <color rgb="FFC00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タスク別 平均実効時間（なし／あり）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集計!E4</c:f>
              <c:strCache>
                <c:ptCount val="1"/>
                <c:pt idx="0">
                  <c:v>平均実効時間
なし(h)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集計!$B$5:$B$12</c:f>
              <c:strCache>
                <c:ptCount val="8"/>
                <c:pt idx="0">
                  <c:v>新規実装</c:v>
                </c:pt>
                <c:pt idx="1">
                  <c:v>SQL</c:v>
                </c:pt>
                <c:pt idx="2">
                  <c:v>テスト</c:v>
                </c:pt>
                <c:pt idx="3">
                  <c:v>解析</c:v>
                </c:pt>
                <c:pt idx="4">
                  <c:v>リファクタリング</c:v>
                </c:pt>
                <c:pt idx="5">
                  <c:v>シェル</c:v>
                </c:pt>
                <c:pt idx="6">
                  <c:v>障害調査</c:v>
                </c:pt>
                <c:pt idx="7">
                  <c:v>ドキュメント</c:v>
                </c:pt>
              </c:strCache>
            </c:strRef>
          </c:cat>
          <c:val>
            <c:numRef>
              <c:f>集計!$E$5:$E$12</c:f>
              <c:numCache>
                <c:formatCode>0.0;\-0.0;\-</c:formatCode>
                <c:ptCount val="8"/>
                <c:pt idx="0">
                  <c:v>6.5</c:v>
                </c:pt>
                <c:pt idx="1">
                  <c:v>3</c:v>
                </c:pt>
                <c:pt idx="2">
                  <c:v>5.2</c:v>
                </c:pt>
                <c:pt idx="3">
                  <c:v>4</c:v>
                </c:pt>
                <c:pt idx="4">
                  <c:v>5.5</c:v>
                </c:pt>
                <c:pt idx="5">
                  <c:v>2.2</c:v>
                </c:pt>
                <c:pt idx="6">
                  <c:v>3</c:v>
                </c:pt>
                <c:pt idx="7">
                  <c:v>4</c:v>
                </c:pt>
              </c:numCache>
            </c:numRef>
          </c:val>
        </c:ser>
        <c:ser>
          <c:idx val="1"/>
          <c:order val="1"/>
          <c:tx>
            <c:strRef>
              <c:f>集計!F4</c:f>
              <c:strCache>
                <c:ptCount val="1"/>
                <c:pt idx="0">
                  <c:v>平均実効時間
あり(h)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集計!$B$5:$B$12</c:f>
              <c:strCache>
                <c:ptCount val="8"/>
                <c:pt idx="0">
                  <c:v>新規実装</c:v>
                </c:pt>
                <c:pt idx="1">
                  <c:v>SQL</c:v>
                </c:pt>
                <c:pt idx="2">
                  <c:v>テスト</c:v>
                </c:pt>
                <c:pt idx="3">
                  <c:v>解析</c:v>
                </c:pt>
                <c:pt idx="4">
                  <c:v>リファクタリング</c:v>
                </c:pt>
                <c:pt idx="5">
                  <c:v>シェル</c:v>
                </c:pt>
                <c:pt idx="6">
                  <c:v>障害調査</c:v>
                </c:pt>
                <c:pt idx="7">
                  <c:v>ドキュメント</c:v>
                </c:pt>
              </c:strCache>
            </c:strRef>
          </c:cat>
          <c:val>
            <c:numRef>
              <c:f>集計!$F$5:$F$12</c:f>
              <c:numCache>
                <c:formatCode>0.0;\-0.0;\-</c:formatCode>
                <c:ptCount val="8"/>
                <c:pt idx="0">
                  <c:v>5</c:v>
                </c:pt>
                <c:pt idx="1">
                  <c:v>1.95</c:v>
                </c:pt>
                <c:pt idx="2">
                  <c:v>3.05</c:v>
                </c:pt>
                <c:pt idx="3">
                  <c:v>2.5</c:v>
                </c:pt>
                <c:pt idx="4">
                  <c:v>4.8</c:v>
                </c:pt>
                <c:pt idx="5">
                  <c:v>1.4</c:v>
                </c:pt>
                <c:pt idx="6">
                  <c:v>3.2</c:v>
                </c:pt>
                <c:pt idx="7">
                  <c:v>3</c:v>
                </c:pt>
              </c:numCache>
            </c:numRef>
          </c:val>
        </c:ser>
        <c:gapWidth val="150"/>
        <c:overlap val="0"/>
        <c:axId val="24018957"/>
        <c:axId val="16012043"/>
      </c:barChart>
      <c:catAx>
        <c:axId val="240189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12043"/>
        <c:crosses val="autoZero"/>
        <c:auto val="1"/>
        <c:lblAlgn val="ctr"/>
        <c:lblOffset val="100"/>
        <c:noMultiLvlLbl val="0"/>
      </c:catAx>
      <c:valAx>
        <c:axId val="160120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時間(h)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;\-0.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189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79920</xdr:rowOff>
    </xdr:from>
    <xdr:to>
      <xdr:col>10</xdr:col>
      <xdr:colOff>307080</xdr:colOff>
      <xdr:row>30</xdr:row>
      <xdr:rowOff>102240</xdr:rowOff>
    </xdr:to>
    <xdr:graphicFrame>
      <xdr:nvGraphicFramePr>
        <xdr:cNvPr id="0" name="Chart 1"/>
        <xdr:cNvGraphicFramePr/>
      </xdr:nvGraphicFramePr>
      <xdr:xfrm>
        <a:off x="0" y="34480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23.85" hidden="false" customHeight="false" outlineLevel="0" collapsed="false">
      <c r="A1" s="1" t="s">
        <v>0</v>
      </c>
    </row>
    <row r="4" customFormat="false" ht="33.75" hidden="false" customHeight="true" outlineLevel="0" collapsed="false">
      <c r="A4" s="2" t="s">
        <v>1</v>
      </c>
      <c r="B4" s="3" t="s">
        <v>2</v>
      </c>
    </row>
    <row r="5" customFormat="false" ht="51.75" hidden="false" customHeight="true" outlineLevel="0" collapsed="false">
      <c r="A5" s="2" t="s">
        <v>3</v>
      </c>
      <c r="B5" s="3" t="s">
        <v>4</v>
      </c>
    </row>
    <row r="6" customFormat="false" ht="33.75" hidden="false" customHeight="true" outlineLevel="0" collapsed="false">
      <c r="A6" s="2" t="s">
        <v>5</v>
      </c>
      <c r="B6" s="4" t="s">
        <v>6</v>
      </c>
    </row>
    <row r="7" customFormat="false" ht="33.75" hidden="false" customHeight="true" outlineLevel="0" collapsed="false">
      <c r="A7" s="2" t="s">
        <v>7</v>
      </c>
      <c r="B7" s="5" t="s">
        <v>8</v>
      </c>
    </row>
    <row r="8" customFormat="false" ht="33.75" hidden="false" customHeight="true" outlineLevel="0" collapsed="false">
      <c r="A8" s="2" t="s">
        <v>9</v>
      </c>
      <c r="B8" s="6" t="s">
        <v>10</v>
      </c>
    </row>
    <row r="9" customFormat="false" ht="51.75" hidden="false" customHeight="true" outlineLevel="0" collapsed="false">
      <c r="A9" s="2" t="s">
        <v>11</v>
      </c>
      <c r="B9" s="6" t="s">
        <v>12</v>
      </c>
    </row>
    <row r="10" customFormat="false" ht="33.75" hidden="false" customHeight="true" outlineLevel="0" collapsed="false">
      <c r="A10" s="2" t="s">
        <v>13</v>
      </c>
      <c r="B10" s="6" t="s">
        <v>14</v>
      </c>
    </row>
    <row r="12" customFormat="false" ht="15" hidden="false" customHeight="false" outlineLevel="0" collapsed="false">
      <c r="A12" s="7" t="s">
        <v>15</v>
      </c>
    </row>
    <row r="13" customFormat="false" ht="15" hidden="false" customHeight="false" outlineLevel="0" collapsed="false">
      <c r="A13" s="8" t="s">
        <v>16</v>
      </c>
      <c r="B13" s="6" t="s">
        <v>17</v>
      </c>
    </row>
    <row r="14" customFormat="false" ht="15" hidden="false" customHeight="false" outlineLevel="0" collapsed="false">
      <c r="A14" s="8" t="s">
        <v>18</v>
      </c>
      <c r="B14" s="6" t="s">
        <v>19</v>
      </c>
    </row>
    <row r="15" customFormat="false" ht="15" hidden="false" customHeight="false" outlineLevel="0" collapsed="false">
      <c r="A15" s="8" t="s">
        <v>20</v>
      </c>
      <c r="B15" s="6" t="s">
        <v>21</v>
      </c>
    </row>
    <row r="16" customFormat="false" ht="15" hidden="false" customHeight="false" outlineLevel="0" collapsed="false">
      <c r="A16" s="8" t="s">
        <v>22</v>
      </c>
      <c r="B16" s="6" t="s">
        <v>23</v>
      </c>
    </row>
    <row r="17" customFormat="false" ht="15" hidden="false" customHeight="false" outlineLevel="0" collapsed="false">
      <c r="A17" s="8" t="s">
        <v>24</v>
      </c>
      <c r="B17" s="6" t="s">
        <v>25</v>
      </c>
    </row>
    <row r="18" customFormat="false" ht="15" hidden="false" customHeight="false" outlineLevel="0" collapsed="false">
      <c r="A18" s="8" t="s">
        <v>26</v>
      </c>
      <c r="B18" s="6" t="s">
        <v>27</v>
      </c>
    </row>
    <row r="19" customFormat="false" ht="15" hidden="false" customHeight="false" outlineLevel="0" collapsed="false">
      <c r="A19" s="8" t="s">
        <v>28</v>
      </c>
      <c r="B19" s="6" t="s">
        <v>29</v>
      </c>
    </row>
    <row r="21" customFormat="false" ht="15" hidden="false" customHeight="false" outlineLevel="0" collapsed="false">
      <c r="A21" s="7" t="s">
        <v>30</v>
      </c>
    </row>
    <row r="22" customFormat="false" ht="15" hidden="false" customHeight="false" outlineLevel="0" collapsed="false">
      <c r="A22" s="5" t="s">
        <v>31</v>
      </c>
      <c r="B22" s="6" t="s">
        <v>32</v>
      </c>
    </row>
    <row r="23" customFormat="false" ht="15" hidden="false" customHeight="false" outlineLevel="0" collapsed="false">
      <c r="A23" s="9" t="s">
        <v>33</v>
      </c>
      <c r="B23" s="6" t="s">
        <v>34</v>
      </c>
    </row>
    <row r="24" customFormat="false" ht="15" hidden="false" customHeight="false" outlineLevel="0" collapsed="false">
      <c r="A24" s="10" t="s">
        <v>35</v>
      </c>
      <c r="B24" s="6" t="s">
        <v>36</v>
      </c>
    </row>
    <row r="25" customFormat="false" ht="15" hidden="false" customHeight="false" outlineLevel="0" collapsed="false">
      <c r="A25" s="2" t="s">
        <v>37</v>
      </c>
      <c r="B25" s="6" t="s">
        <v>38</v>
      </c>
    </row>
    <row r="27" customFormat="false" ht="15" hidden="false" customHeight="false" outlineLevel="0" collapsed="false">
      <c r="A27" s="1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26"/>
    <col collapsed="false" customWidth="true" hidden="false" outlineLevel="0" max="5" min="5" style="0" width="38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2" t="s">
        <v>40</v>
      </c>
    </row>
    <row r="2" customFormat="false" ht="15" hidden="false" customHeight="false" outlineLevel="0" collapsed="false">
      <c r="A2" s="13" t="s">
        <v>41</v>
      </c>
    </row>
    <row r="4" customFormat="false" ht="31.5" hidden="false" customHeight="true" outlineLevel="0" collapsed="false">
      <c r="A4" s="14" t="s">
        <v>42</v>
      </c>
      <c r="B4" s="14" t="s">
        <v>43</v>
      </c>
      <c r="C4" s="14" t="s">
        <v>44</v>
      </c>
      <c r="D4" s="14" t="s">
        <v>45</v>
      </c>
      <c r="E4" s="15" t="s">
        <v>46</v>
      </c>
      <c r="F4" s="14" t="s">
        <v>47</v>
      </c>
    </row>
    <row r="5" customFormat="false" ht="30" hidden="false" customHeight="true" outlineLevel="0" collapsed="false">
      <c r="A5" s="16" t="s">
        <v>48</v>
      </c>
      <c r="B5" s="5" t="s">
        <v>49</v>
      </c>
      <c r="C5" s="5" t="s">
        <v>50</v>
      </c>
      <c r="D5" s="4" t="s">
        <v>51</v>
      </c>
      <c r="E5" s="5" t="s">
        <v>52</v>
      </c>
      <c r="F5" s="17" t="s">
        <v>53</v>
      </c>
    </row>
    <row r="6" customFormat="false" ht="30" hidden="false" customHeight="true" outlineLevel="0" collapsed="false">
      <c r="A6" s="16" t="s">
        <v>54</v>
      </c>
      <c r="B6" s="4" t="s">
        <v>55</v>
      </c>
      <c r="C6" s="4" t="s">
        <v>56</v>
      </c>
      <c r="D6" s="4" t="s">
        <v>57</v>
      </c>
      <c r="E6" s="4" t="s">
        <v>58</v>
      </c>
      <c r="F6" s="17" t="s">
        <v>59</v>
      </c>
    </row>
    <row r="7" customFormat="false" ht="30" hidden="false" customHeight="true" outlineLevel="0" collapsed="false">
      <c r="A7" s="16" t="s">
        <v>60</v>
      </c>
      <c r="B7" s="5" t="s">
        <v>61</v>
      </c>
      <c r="C7" s="4" t="s">
        <v>62</v>
      </c>
      <c r="D7" s="5" t="s">
        <v>63</v>
      </c>
      <c r="E7" s="5" t="s">
        <v>64</v>
      </c>
      <c r="F7" s="17" t="s">
        <v>59</v>
      </c>
    </row>
    <row r="8" customFormat="false" ht="30" hidden="false" customHeight="true" outlineLevel="0" collapsed="false">
      <c r="A8" s="16" t="s">
        <v>65</v>
      </c>
      <c r="B8" s="5" t="s">
        <v>66</v>
      </c>
      <c r="C8" s="5" t="s">
        <v>67</v>
      </c>
      <c r="D8" s="4" t="s">
        <v>68</v>
      </c>
      <c r="E8" s="5" t="s">
        <v>69</v>
      </c>
      <c r="F8" s="17" t="s">
        <v>59</v>
      </c>
    </row>
    <row r="9" customFormat="false" ht="30" hidden="false" customHeight="true" outlineLevel="0" collapsed="false">
      <c r="A9" s="16" t="s">
        <v>70</v>
      </c>
      <c r="B9" s="5" t="s">
        <v>71</v>
      </c>
      <c r="C9" s="5" t="s">
        <v>72</v>
      </c>
      <c r="D9" s="4" t="s">
        <v>73</v>
      </c>
      <c r="E9" s="5" t="s">
        <v>74</v>
      </c>
      <c r="F9" s="17" t="s">
        <v>53</v>
      </c>
    </row>
    <row r="10" customFormat="false" ht="30" hidden="false" customHeight="true" outlineLevel="0" collapsed="false">
      <c r="A10" s="16" t="s">
        <v>75</v>
      </c>
      <c r="B10" s="5" t="s">
        <v>76</v>
      </c>
      <c r="C10" s="5" t="s">
        <v>77</v>
      </c>
      <c r="D10" s="5" t="s">
        <v>78</v>
      </c>
      <c r="E10" s="5" t="s">
        <v>79</v>
      </c>
      <c r="F10" s="17" t="s">
        <v>59</v>
      </c>
    </row>
    <row r="11" customFormat="false" ht="30" hidden="false" customHeight="true" outlineLevel="0" collapsed="false">
      <c r="A11" s="16" t="s">
        <v>80</v>
      </c>
      <c r="B11" s="5" t="s">
        <v>81</v>
      </c>
      <c r="C11" s="5" t="s">
        <v>82</v>
      </c>
      <c r="D11" s="5" t="s">
        <v>83</v>
      </c>
      <c r="E11" s="5" t="s">
        <v>84</v>
      </c>
      <c r="F11" s="17" t="s">
        <v>53</v>
      </c>
    </row>
    <row r="12" customFormat="false" ht="30" hidden="false" customHeight="true" outlineLevel="0" collapsed="false">
      <c r="A12" s="16" t="s">
        <v>85</v>
      </c>
      <c r="B12" s="5" t="s">
        <v>86</v>
      </c>
      <c r="C12" s="5" t="s">
        <v>87</v>
      </c>
      <c r="D12" s="4" t="s">
        <v>88</v>
      </c>
      <c r="E12" s="5" t="s">
        <v>89</v>
      </c>
      <c r="F12" s="17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2" min="11" style="0" width="12"/>
    <col collapsed="false" customWidth="true" hidden="false" outlineLevel="0" max="13" min="13" style="0" width="40"/>
  </cols>
  <sheetData>
    <row r="1" customFormat="false" ht="19.7" hidden="false" customHeight="false" outlineLevel="0" collapsed="false">
      <c r="A1" s="12" t="s">
        <v>90</v>
      </c>
    </row>
    <row r="2" customFormat="false" ht="15" hidden="false" customHeight="false" outlineLevel="0" collapsed="false">
      <c r="A2" s="13" t="s">
        <v>91</v>
      </c>
    </row>
    <row r="4" customFormat="false" ht="31.5" hidden="false" customHeight="true" outlineLevel="0" collapsed="false">
      <c r="A4" s="15" t="s">
        <v>92</v>
      </c>
      <c r="B4" s="14" t="s">
        <v>93</v>
      </c>
      <c r="C4" s="14" t="s">
        <v>94</v>
      </c>
      <c r="D4" s="14" t="s">
        <v>42</v>
      </c>
      <c r="E4" s="14" t="s">
        <v>43</v>
      </c>
      <c r="F4" s="15" t="s">
        <v>95</v>
      </c>
      <c r="G4" s="14" t="s">
        <v>96</v>
      </c>
      <c r="H4" s="14" t="s">
        <v>97</v>
      </c>
      <c r="I4" s="14" t="s">
        <v>98</v>
      </c>
      <c r="J4" s="14" t="s">
        <v>99</v>
      </c>
      <c r="K4" s="14" t="s">
        <v>100</v>
      </c>
      <c r="L4" s="14" t="s">
        <v>101</v>
      </c>
      <c r="M4" s="14" t="s">
        <v>102</v>
      </c>
    </row>
    <row r="5" customFormat="false" ht="15" hidden="false" customHeight="false" outlineLevel="0" collapsed="false">
      <c r="A5" s="18" t="n">
        <v>1</v>
      </c>
      <c r="B5" s="16" t="s">
        <v>103</v>
      </c>
      <c r="C5" s="17" t="s">
        <v>104</v>
      </c>
      <c r="D5" s="16" t="s">
        <v>48</v>
      </c>
      <c r="E5" s="19" t="str">
        <f aca="false">IF(D5="","",IFERROR(INDEX(対象タスク!$B$5:$B$12,MATCH(D5,対象タスク!$A$5:$A$12,0)),"未定義"))</f>
        <v>新規実装</v>
      </c>
      <c r="F5" s="17" t="s">
        <v>105</v>
      </c>
      <c r="G5" s="20" t="n">
        <v>6</v>
      </c>
      <c r="H5" s="20" t="n">
        <v>0.5</v>
      </c>
      <c r="I5" s="21" t="n">
        <f aca="false">IF(G5="","",G5+N(H5))</f>
        <v>6.5</v>
      </c>
      <c r="J5" s="22"/>
      <c r="K5" s="23" t="n">
        <v>3</v>
      </c>
      <c r="L5" s="23" t="n">
        <v>0</v>
      </c>
      <c r="M5" s="4"/>
    </row>
    <row r="6" customFormat="false" ht="15" hidden="false" customHeight="false" outlineLevel="0" collapsed="false">
      <c r="A6" s="18" t="n">
        <v>2</v>
      </c>
      <c r="B6" s="16" t="s">
        <v>106</v>
      </c>
      <c r="C6" s="17" t="s">
        <v>104</v>
      </c>
      <c r="D6" s="16" t="s">
        <v>48</v>
      </c>
      <c r="E6" s="19" t="str">
        <f aca="false">IF(D6="","",IFERROR(INDEX(対象タスク!$B$5:$B$12,MATCH(D6,対象タスク!$A$5:$A$12,0)),"未定義"))</f>
        <v>新規実装</v>
      </c>
      <c r="F6" s="17" t="s">
        <v>107</v>
      </c>
      <c r="G6" s="20" t="n">
        <v>4.5</v>
      </c>
      <c r="H6" s="20" t="n">
        <v>0.5</v>
      </c>
      <c r="I6" s="21" t="n">
        <f aca="false">IF(G6="","",G6+N(H6))</f>
        <v>5</v>
      </c>
      <c r="J6" s="22" t="n">
        <v>0.3</v>
      </c>
      <c r="K6" s="23" t="n">
        <v>3</v>
      </c>
      <c r="L6" s="23" t="n">
        <v>0</v>
      </c>
      <c r="M6" s="5" t="s">
        <v>108</v>
      </c>
    </row>
    <row r="7" customFormat="false" ht="15" hidden="false" customHeight="false" outlineLevel="0" collapsed="false">
      <c r="A7" s="18" t="n">
        <v>3</v>
      </c>
      <c r="B7" s="16" t="s">
        <v>103</v>
      </c>
      <c r="C7" s="17" t="s">
        <v>109</v>
      </c>
      <c r="D7" s="16" t="s">
        <v>54</v>
      </c>
      <c r="E7" s="19" t="str">
        <f aca="false">IF(D7="","",IFERROR(INDEX(対象タスク!$B$5:$B$12,MATCH(D7,対象タスク!$A$5:$A$12,0)),"未定義"))</f>
        <v>SQL</v>
      </c>
      <c r="F7" s="17" t="s">
        <v>105</v>
      </c>
      <c r="G7" s="20" t="n">
        <v>3</v>
      </c>
      <c r="H7" s="20" t="n">
        <v>0.3</v>
      </c>
      <c r="I7" s="21" t="n">
        <f aca="false">IF(G7="","",G7+N(H7))</f>
        <v>3.3</v>
      </c>
      <c r="J7" s="22"/>
      <c r="K7" s="23" t="n">
        <v>2</v>
      </c>
      <c r="L7" s="23" t="n">
        <v>0</v>
      </c>
      <c r="M7" s="4"/>
    </row>
    <row r="8" customFormat="false" ht="15" hidden="false" customHeight="false" outlineLevel="0" collapsed="false">
      <c r="A8" s="18" t="n">
        <v>4</v>
      </c>
      <c r="B8" s="16" t="s">
        <v>106</v>
      </c>
      <c r="C8" s="17" t="s">
        <v>109</v>
      </c>
      <c r="D8" s="16" t="s">
        <v>54</v>
      </c>
      <c r="E8" s="19" t="str">
        <f aca="false">IF(D8="","",IFERROR(INDEX(対象タスク!$B$5:$B$12,MATCH(D8,対象タスク!$A$5:$A$12,0)),"未定義"))</f>
        <v>SQL</v>
      </c>
      <c r="F8" s="17" t="s">
        <v>107</v>
      </c>
      <c r="G8" s="20" t="n">
        <v>1.8</v>
      </c>
      <c r="H8" s="20" t="n">
        <v>0.3</v>
      </c>
      <c r="I8" s="21" t="n">
        <f aca="false">IF(G8="","",G8+N(H8))</f>
        <v>2.1</v>
      </c>
      <c r="J8" s="22" t="n">
        <v>0.45</v>
      </c>
      <c r="K8" s="23" t="n">
        <v>2</v>
      </c>
      <c r="L8" s="23" t="n">
        <v>0</v>
      </c>
      <c r="M8" s="4" t="s">
        <v>110</v>
      </c>
    </row>
    <row r="9" customFormat="false" ht="15" hidden="false" customHeight="false" outlineLevel="0" collapsed="false">
      <c r="A9" s="18" t="n">
        <v>5</v>
      </c>
      <c r="B9" s="16" t="s">
        <v>111</v>
      </c>
      <c r="C9" s="17" t="s">
        <v>112</v>
      </c>
      <c r="D9" s="16" t="s">
        <v>60</v>
      </c>
      <c r="E9" s="19" t="str">
        <f aca="false">IF(D9="","",IFERROR(INDEX(対象タスク!$B$5:$B$12,MATCH(D9,対象タスク!$A$5:$A$12,0)),"未定義"))</f>
        <v>テスト</v>
      </c>
      <c r="F9" s="17" t="s">
        <v>105</v>
      </c>
      <c r="G9" s="20" t="n">
        <v>5</v>
      </c>
      <c r="H9" s="20" t="n">
        <v>0.5</v>
      </c>
      <c r="I9" s="21" t="n">
        <f aca="false">IF(G9="","",G9+N(H9))</f>
        <v>5.5</v>
      </c>
      <c r="J9" s="22"/>
      <c r="K9" s="23" t="n">
        <v>1</v>
      </c>
      <c r="L9" s="23" t="n">
        <v>0</v>
      </c>
      <c r="M9" s="4"/>
    </row>
    <row r="10" customFormat="false" ht="15" hidden="false" customHeight="false" outlineLevel="0" collapsed="false">
      <c r="A10" s="18" t="n">
        <v>6</v>
      </c>
      <c r="B10" s="16" t="s">
        <v>113</v>
      </c>
      <c r="C10" s="17" t="s">
        <v>112</v>
      </c>
      <c r="D10" s="16" t="s">
        <v>60</v>
      </c>
      <c r="E10" s="19" t="str">
        <f aca="false">IF(D10="","",IFERROR(INDEX(対象タスク!$B$5:$B$12,MATCH(D10,対象タスク!$A$5:$A$12,0)),"未定義"))</f>
        <v>テスト</v>
      </c>
      <c r="F10" s="17" t="s">
        <v>107</v>
      </c>
      <c r="G10" s="20" t="n">
        <v>2.8</v>
      </c>
      <c r="H10" s="20" t="n">
        <v>0.4</v>
      </c>
      <c r="I10" s="21" t="n">
        <f aca="false">IF(G10="","",G10+N(H10))</f>
        <v>3.2</v>
      </c>
      <c r="J10" s="22" t="n">
        <v>0.5</v>
      </c>
      <c r="K10" s="23" t="n">
        <v>2</v>
      </c>
      <c r="L10" s="23" t="n">
        <v>0</v>
      </c>
      <c r="M10" s="5" t="s">
        <v>114</v>
      </c>
    </row>
    <row r="11" customFormat="false" ht="15" hidden="false" customHeight="false" outlineLevel="0" collapsed="false">
      <c r="A11" s="18" t="n">
        <v>7</v>
      </c>
      <c r="B11" s="16" t="s">
        <v>111</v>
      </c>
      <c r="C11" s="17" t="s">
        <v>104</v>
      </c>
      <c r="D11" s="16" t="s">
        <v>65</v>
      </c>
      <c r="E11" s="19" t="str">
        <f aca="false">IF(D11="","",IFERROR(INDEX(対象タスク!$B$5:$B$12,MATCH(D11,対象タスク!$A$5:$A$12,0)),"未定義"))</f>
        <v>解析</v>
      </c>
      <c r="F11" s="17" t="s">
        <v>105</v>
      </c>
      <c r="G11" s="20" t="n">
        <v>4</v>
      </c>
      <c r="H11" s="20" t="n">
        <v>0</v>
      </c>
      <c r="I11" s="21" t="n">
        <f aca="false">IF(G11="","",G11+N(H11))</f>
        <v>4</v>
      </c>
      <c r="J11" s="22"/>
      <c r="K11" s="23" t="n">
        <v>0</v>
      </c>
      <c r="L11" s="23" t="n">
        <v>0</v>
      </c>
      <c r="M11" s="4"/>
    </row>
    <row r="12" customFormat="false" ht="15" hidden="false" customHeight="false" outlineLevel="0" collapsed="false">
      <c r="A12" s="18" t="n">
        <v>8</v>
      </c>
      <c r="B12" s="16" t="s">
        <v>113</v>
      </c>
      <c r="C12" s="17" t="s">
        <v>104</v>
      </c>
      <c r="D12" s="16" t="s">
        <v>65</v>
      </c>
      <c r="E12" s="19" t="str">
        <f aca="false">IF(D12="","",IFERROR(INDEX(対象タスク!$B$5:$B$12,MATCH(D12,対象タスク!$A$5:$A$12,0)),"未定義"))</f>
        <v>解析</v>
      </c>
      <c r="F12" s="17" t="s">
        <v>107</v>
      </c>
      <c r="G12" s="20" t="n">
        <v>2.5</v>
      </c>
      <c r="H12" s="20" t="n">
        <v>0</v>
      </c>
      <c r="I12" s="21" t="n">
        <f aca="false">IF(G12="","",G12+N(H12))</f>
        <v>2.5</v>
      </c>
      <c r="J12" s="22" t="n">
        <v>0.4</v>
      </c>
      <c r="K12" s="23" t="n">
        <v>0</v>
      </c>
      <c r="L12" s="23" t="n">
        <v>0</v>
      </c>
      <c r="M12" s="5" t="s">
        <v>115</v>
      </c>
    </row>
    <row r="13" customFormat="false" ht="29.85" hidden="false" customHeight="false" outlineLevel="0" collapsed="false">
      <c r="A13" s="18" t="n">
        <v>9</v>
      </c>
      <c r="B13" s="16" t="s">
        <v>116</v>
      </c>
      <c r="C13" s="17" t="s">
        <v>109</v>
      </c>
      <c r="D13" s="16" t="s">
        <v>70</v>
      </c>
      <c r="E13" s="19" t="str">
        <f aca="false">IF(D13="","",IFERROR(INDEX(対象タスク!$B$5:$B$12,MATCH(D13,対象タスク!$A$5:$A$12,0)),"未定義"))</f>
        <v>リファクタリング</v>
      </c>
      <c r="F13" s="17" t="s">
        <v>105</v>
      </c>
      <c r="G13" s="20" t="n">
        <v>5</v>
      </c>
      <c r="H13" s="20" t="n">
        <v>0.5</v>
      </c>
      <c r="I13" s="21" t="n">
        <f aca="false">IF(G13="","",G13+N(H13))</f>
        <v>5.5</v>
      </c>
      <c r="J13" s="22"/>
      <c r="K13" s="23" t="n">
        <v>2</v>
      </c>
      <c r="L13" s="23" t="n">
        <v>0</v>
      </c>
      <c r="M13" s="4"/>
    </row>
    <row r="14" customFormat="false" ht="29.85" hidden="false" customHeight="false" outlineLevel="0" collapsed="false">
      <c r="A14" s="18" t="n">
        <v>10</v>
      </c>
      <c r="B14" s="16" t="s">
        <v>117</v>
      </c>
      <c r="C14" s="17" t="s">
        <v>109</v>
      </c>
      <c r="D14" s="16" t="s">
        <v>70</v>
      </c>
      <c r="E14" s="19" t="str">
        <f aca="false">IF(D14="","",IFERROR(INDEX(対象タスク!$B$5:$B$12,MATCH(D14,対象タスク!$A$5:$A$12,0)),"未定義"))</f>
        <v>リファクタリング</v>
      </c>
      <c r="F14" s="17" t="s">
        <v>107</v>
      </c>
      <c r="G14" s="20" t="n">
        <v>3.8</v>
      </c>
      <c r="H14" s="20" t="n">
        <v>1</v>
      </c>
      <c r="I14" s="21" t="n">
        <f aca="false">IF(G14="","",G14+N(H14))</f>
        <v>4.8</v>
      </c>
      <c r="J14" s="22" t="n">
        <v>0.25</v>
      </c>
      <c r="K14" s="23" t="n">
        <v>3</v>
      </c>
      <c r="L14" s="23" t="n">
        <v>1</v>
      </c>
      <c r="M14" s="5" t="s">
        <v>118</v>
      </c>
    </row>
    <row r="15" customFormat="false" ht="15" hidden="false" customHeight="false" outlineLevel="0" collapsed="false">
      <c r="A15" s="18" t="n">
        <v>11</v>
      </c>
      <c r="B15" s="16" t="s">
        <v>116</v>
      </c>
      <c r="C15" s="17" t="s">
        <v>112</v>
      </c>
      <c r="D15" s="16" t="s">
        <v>75</v>
      </c>
      <c r="E15" s="19" t="str">
        <f aca="false">IF(D15="","",IFERROR(INDEX(対象タスク!$B$5:$B$12,MATCH(D15,対象タスク!$A$5:$A$12,0)),"未定義"))</f>
        <v>シェル</v>
      </c>
      <c r="F15" s="17" t="s">
        <v>105</v>
      </c>
      <c r="G15" s="20" t="n">
        <v>2</v>
      </c>
      <c r="H15" s="20" t="n">
        <v>0.2</v>
      </c>
      <c r="I15" s="21" t="n">
        <f aca="false">IF(G15="","",G15+N(H15))</f>
        <v>2.2</v>
      </c>
      <c r="J15" s="22"/>
      <c r="K15" s="23" t="n">
        <v>1</v>
      </c>
      <c r="L15" s="23" t="n">
        <v>0</v>
      </c>
      <c r="M15" s="4"/>
    </row>
    <row r="16" customFormat="false" ht="15" hidden="false" customHeight="false" outlineLevel="0" collapsed="false">
      <c r="A16" s="18" t="n">
        <v>12</v>
      </c>
      <c r="B16" s="16" t="s">
        <v>117</v>
      </c>
      <c r="C16" s="17" t="s">
        <v>112</v>
      </c>
      <c r="D16" s="16" t="s">
        <v>75</v>
      </c>
      <c r="E16" s="19" t="str">
        <f aca="false">IF(D16="","",IFERROR(INDEX(対象タスク!$B$5:$B$12,MATCH(D16,対象タスク!$A$5:$A$12,0)),"未定義"))</f>
        <v>シェル</v>
      </c>
      <c r="F16" s="17" t="s">
        <v>107</v>
      </c>
      <c r="G16" s="20" t="n">
        <v>1.2</v>
      </c>
      <c r="H16" s="20" t="n">
        <v>0.2</v>
      </c>
      <c r="I16" s="21" t="n">
        <f aca="false">IF(G16="","",G16+N(H16))</f>
        <v>1.4</v>
      </c>
      <c r="J16" s="22" t="n">
        <v>0.55</v>
      </c>
      <c r="K16" s="23" t="n">
        <v>1</v>
      </c>
      <c r="L16" s="23" t="n">
        <v>0</v>
      </c>
      <c r="M16" s="4"/>
    </row>
    <row r="17" customFormat="false" ht="15" hidden="false" customHeight="false" outlineLevel="0" collapsed="false">
      <c r="A17" s="18" t="n">
        <v>13</v>
      </c>
      <c r="B17" s="16" t="s">
        <v>119</v>
      </c>
      <c r="C17" s="17" t="s">
        <v>104</v>
      </c>
      <c r="D17" s="16" t="s">
        <v>80</v>
      </c>
      <c r="E17" s="19" t="str">
        <f aca="false">IF(D17="","",IFERROR(INDEX(対象タスク!$B$5:$B$12,MATCH(D17,対象タスク!$A$5:$A$12,0)),"未定義"))</f>
        <v>障害調査</v>
      </c>
      <c r="F17" s="17" t="s">
        <v>105</v>
      </c>
      <c r="G17" s="20" t="n">
        <v>3</v>
      </c>
      <c r="H17" s="20" t="n">
        <v>0</v>
      </c>
      <c r="I17" s="21" t="n">
        <f aca="false">IF(G17="","",G17+N(H17))</f>
        <v>3</v>
      </c>
      <c r="J17" s="22"/>
      <c r="K17" s="23" t="n">
        <v>0</v>
      </c>
      <c r="L17" s="23" t="n">
        <v>0</v>
      </c>
      <c r="M17" s="4"/>
    </row>
    <row r="18" customFormat="false" ht="15" hidden="false" customHeight="false" outlineLevel="0" collapsed="false">
      <c r="A18" s="18" t="n">
        <v>14</v>
      </c>
      <c r="B18" s="16" t="s">
        <v>120</v>
      </c>
      <c r="C18" s="17" t="s">
        <v>104</v>
      </c>
      <c r="D18" s="16" t="s">
        <v>80</v>
      </c>
      <c r="E18" s="19" t="str">
        <f aca="false">IF(D18="","",IFERROR(INDEX(対象タスク!$B$5:$B$12,MATCH(D18,対象タスク!$A$5:$A$12,0)),"未定義"))</f>
        <v>障害調査</v>
      </c>
      <c r="F18" s="17" t="s">
        <v>107</v>
      </c>
      <c r="G18" s="20" t="n">
        <v>3.2</v>
      </c>
      <c r="H18" s="20" t="n">
        <v>0</v>
      </c>
      <c r="I18" s="21" t="n">
        <f aca="false">IF(G18="","",G18+N(H18))</f>
        <v>3.2</v>
      </c>
      <c r="J18" s="22" t="n">
        <v>0.15</v>
      </c>
      <c r="K18" s="23" t="n">
        <v>0</v>
      </c>
      <c r="L18" s="23" t="n">
        <v>0</v>
      </c>
      <c r="M18" s="5" t="s">
        <v>121</v>
      </c>
    </row>
    <row r="19" customFormat="false" ht="15" hidden="false" customHeight="false" outlineLevel="0" collapsed="false">
      <c r="A19" s="18" t="n">
        <v>15</v>
      </c>
      <c r="B19" s="16" t="s">
        <v>119</v>
      </c>
      <c r="C19" s="17" t="s">
        <v>109</v>
      </c>
      <c r="D19" s="16" t="s">
        <v>85</v>
      </c>
      <c r="E19" s="19" t="str">
        <f aca="false">IF(D19="","",IFERROR(INDEX(対象タスク!$B$5:$B$12,MATCH(D19,対象タスク!$A$5:$A$12,0)),"未定義"))</f>
        <v>ドキュメント</v>
      </c>
      <c r="F19" s="17" t="s">
        <v>105</v>
      </c>
      <c r="G19" s="20" t="n">
        <v>4</v>
      </c>
      <c r="H19" s="20" t="n">
        <v>0</v>
      </c>
      <c r="I19" s="21" t="n">
        <f aca="false">IF(G19="","",G19+N(H19))</f>
        <v>4</v>
      </c>
      <c r="J19" s="22"/>
      <c r="K19" s="23" t="n">
        <v>1</v>
      </c>
      <c r="L19" s="23" t="n">
        <v>0</v>
      </c>
      <c r="M19" s="4"/>
    </row>
    <row r="20" customFormat="false" ht="15" hidden="false" customHeight="false" outlineLevel="0" collapsed="false">
      <c r="A20" s="18" t="n">
        <v>16</v>
      </c>
      <c r="B20" s="16" t="s">
        <v>120</v>
      </c>
      <c r="C20" s="17" t="s">
        <v>109</v>
      </c>
      <c r="D20" s="16" t="s">
        <v>85</v>
      </c>
      <c r="E20" s="19" t="str">
        <f aca="false">IF(D20="","",IFERROR(INDEX(対象タスク!$B$5:$B$12,MATCH(D20,対象タスク!$A$5:$A$12,0)),"未定義"))</f>
        <v>ドキュメント</v>
      </c>
      <c r="F20" s="17" t="s">
        <v>107</v>
      </c>
      <c r="G20" s="20" t="n">
        <v>3</v>
      </c>
      <c r="H20" s="20" t="n">
        <v>0</v>
      </c>
      <c r="I20" s="21" t="n">
        <f aca="false">IF(G20="","",G20+N(H20))</f>
        <v>3</v>
      </c>
      <c r="J20" s="22" t="n">
        <v>0.35</v>
      </c>
      <c r="K20" s="23" t="n">
        <v>1</v>
      </c>
      <c r="L20" s="23" t="n">
        <v>0</v>
      </c>
      <c r="M20" s="4"/>
    </row>
    <row r="21" customFormat="false" ht="15" hidden="false" customHeight="false" outlineLevel="0" collapsed="false">
      <c r="A21" s="18" t="n">
        <v>17</v>
      </c>
      <c r="B21" s="16" t="s">
        <v>122</v>
      </c>
      <c r="C21" s="17" t="s">
        <v>104</v>
      </c>
      <c r="D21" s="16" t="s">
        <v>54</v>
      </c>
      <c r="E21" s="19" t="str">
        <f aca="false">IF(D21="","",IFERROR(INDEX(対象タスク!$B$5:$B$12,MATCH(D21,対象タスク!$A$5:$A$12,0)),"未定義"))</f>
        <v>SQL</v>
      </c>
      <c r="F21" s="17" t="s">
        <v>105</v>
      </c>
      <c r="G21" s="20" t="n">
        <v>2.5</v>
      </c>
      <c r="H21" s="20" t="n">
        <v>0.2</v>
      </c>
      <c r="I21" s="21" t="n">
        <f aca="false">IF(G21="","",G21+N(H21))</f>
        <v>2.7</v>
      </c>
      <c r="J21" s="22"/>
      <c r="K21" s="23" t="n">
        <v>1</v>
      </c>
      <c r="L21" s="23" t="n">
        <v>0</v>
      </c>
      <c r="M21" s="4"/>
    </row>
    <row r="22" customFormat="false" ht="15" hidden="false" customHeight="false" outlineLevel="0" collapsed="false">
      <c r="A22" s="18" t="n">
        <v>18</v>
      </c>
      <c r="B22" s="16" t="s">
        <v>123</v>
      </c>
      <c r="C22" s="17" t="s">
        <v>104</v>
      </c>
      <c r="D22" s="16" t="s">
        <v>54</v>
      </c>
      <c r="E22" s="19" t="str">
        <f aca="false">IF(D22="","",IFERROR(INDEX(対象タスク!$B$5:$B$12,MATCH(D22,対象タスク!$A$5:$A$12,0)),"未定義"))</f>
        <v>SQL</v>
      </c>
      <c r="F22" s="17" t="s">
        <v>107</v>
      </c>
      <c r="G22" s="20" t="n">
        <v>1.6</v>
      </c>
      <c r="H22" s="20" t="n">
        <v>0.2</v>
      </c>
      <c r="I22" s="21" t="n">
        <f aca="false">IF(G22="","",G22+N(H22))</f>
        <v>1.8</v>
      </c>
      <c r="J22" s="22" t="n">
        <v>0.4</v>
      </c>
      <c r="K22" s="23" t="n">
        <v>1</v>
      </c>
      <c r="L22" s="23" t="n">
        <v>0</v>
      </c>
      <c r="M22" s="4"/>
    </row>
    <row r="23" customFormat="false" ht="15" hidden="false" customHeight="false" outlineLevel="0" collapsed="false">
      <c r="A23" s="18" t="n">
        <v>19</v>
      </c>
      <c r="B23" s="16" t="s">
        <v>122</v>
      </c>
      <c r="C23" s="17" t="s">
        <v>109</v>
      </c>
      <c r="D23" s="16" t="s">
        <v>60</v>
      </c>
      <c r="E23" s="19" t="str">
        <f aca="false">IF(D23="","",IFERROR(INDEX(対象タスク!$B$5:$B$12,MATCH(D23,対象タスク!$A$5:$A$12,0)),"未定義"))</f>
        <v>テスト</v>
      </c>
      <c r="F23" s="17" t="s">
        <v>105</v>
      </c>
      <c r="G23" s="20" t="n">
        <v>4.5</v>
      </c>
      <c r="H23" s="20" t="n">
        <v>0.4</v>
      </c>
      <c r="I23" s="21" t="n">
        <f aca="false">IF(G23="","",G23+N(H23))</f>
        <v>4.9</v>
      </c>
      <c r="J23" s="22"/>
      <c r="K23" s="23" t="n">
        <v>2</v>
      </c>
      <c r="L23" s="23" t="n">
        <v>1</v>
      </c>
      <c r="M23" s="4"/>
    </row>
    <row r="24" customFormat="false" ht="15" hidden="false" customHeight="false" outlineLevel="0" collapsed="false">
      <c r="A24" s="18" t="n">
        <v>20</v>
      </c>
      <c r="B24" s="16" t="s">
        <v>123</v>
      </c>
      <c r="C24" s="17" t="s">
        <v>109</v>
      </c>
      <c r="D24" s="16" t="s">
        <v>60</v>
      </c>
      <c r="E24" s="19" t="str">
        <f aca="false">IF(D24="","",IFERROR(INDEX(対象タスク!$B$5:$B$12,MATCH(D24,対象タスク!$A$5:$A$12,0)),"未定義"))</f>
        <v>テスト</v>
      </c>
      <c r="F24" s="17" t="s">
        <v>107</v>
      </c>
      <c r="G24" s="20" t="n">
        <v>2.6</v>
      </c>
      <c r="H24" s="20" t="n">
        <v>0.3</v>
      </c>
      <c r="I24" s="21" t="n">
        <f aca="false">IF(G24="","",G24+N(H24))</f>
        <v>2.9</v>
      </c>
      <c r="J24" s="22" t="n">
        <v>0.45</v>
      </c>
      <c r="K24" s="23" t="n">
        <v>1</v>
      </c>
      <c r="L24" s="23" t="n">
        <v>0</v>
      </c>
      <c r="M24" s="4"/>
    </row>
    <row r="25" customFormat="false" ht="15" hidden="false" customHeight="false" outlineLevel="0" collapsed="false">
      <c r="A25" s="18" t="n">
        <v>21</v>
      </c>
      <c r="B25" s="16"/>
      <c r="C25" s="16"/>
      <c r="D25" s="16"/>
      <c r="E25" s="19" t="str">
        <f aca="false">IF(D25="","",IFERROR(INDEX(対象タスク!$B$5:$B$12,MATCH(D25,対象タスク!$A$5:$A$12,0)),"未定義"))</f>
        <v/>
      </c>
      <c r="F25" s="17"/>
      <c r="G25" s="20"/>
      <c r="H25" s="20"/>
      <c r="I25" s="21" t="str">
        <f aca="false">IF(G25="","",G25+N(H25))</f>
        <v/>
      </c>
      <c r="J25" s="22"/>
      <c r="K25" s="23"/>
      <c r="L25" s="23"/>
      <c r="M25" s="4"/>
    </row>
    <row r="26" customFormat="false" ht="15" hidden="false" customHeight="false" outlineLevel="0" collapsed="false">
      <c r="A26" s="18" t="n">
        <v>22</v>
      </c>
      <c r="B26" s="16"/>
      <c r="C26" s="16"/>
      <c r="D26" s="16"/>
      <c r="E26" s="19" t="str">
        <f aca="false">IF(D26="","",IFERROR(INDEX(対象タスク!$B$5:$B$12,MATCH(D26,対象タスク!$A$5:$A$12,0)),"未定義"))</f>
        <v/>
      </c>
      <c r="F26" s="17"/>
      <c r="G26" s="20"/>
      <c r="H26" s="20"/>
      <c r="I26" s="21" t="str">
        <f aca="false">IF(G26="","",G26+N(H26))</f>
        <v/>
      </c>
      <c r="J26" s="22"/>
      <c r="K26" s="23"/>
      <c r="L26" s="23"/>
      <c r="M26" s="4"/>
    </row>
    <row r="27" customFormat="false" ht="15" hidden="false" customHeight="false" outlineLevel="0" collapsed="false">
      <c r="A27" s="18" t="n">
        <v>23</v>
      </c>
      <c r="B27" s="16"/>
      <c r="C27" s="16"/>
      <c r="D27" s="16"/>
      <c r="E27" s="19" t="str">
        <f aca="false">IF(D27="","",IFERROR(INDEX(対象タスク!$B$5:$B$12,MATCH(D27,対象タスク!$A$5:$A$12,0)),"未定義"))</f>
        <v/>
      </c>
      <c r="F27" s="17"/>
      <c r="G27" s="20"/>
      <c r="H27" s="20"/>
      <c r="I27" s="21" t="str">
        <f aca="false">IF(G27="","",G27+N(H27))</f>
        <v/>
      </c>
      <c r="J27" s="22"/>
      <c r="K27" s="23"/>
      <c r="L27" s="23"/>
      <c r="M27" s="4"/>
    </row>
    <row r="28" customFormat="false" ht="15" hidden="false" customHeight="false" outlineLevel="0" collapsed="false">
      <c r="A28" s="18" t="n">
        <v>24</v>
      </c>
      <c r="B28" s="16"/>
      <c r="C28" s="16"/>
      <c r="D28" s="16"/>
      <c r="E28" s="19" t="str">
        <f aca="false">IF(D28="","",IFERROR(INDEX(対象タスク!$B$5:$B$12,MATCH(D28,対象タスク!$A$5:$A$12,0)),"未定義"))</f>
        <v/>
      </c>
      <c r="F28" s="17"/>
      <c r="G28" s="20"/>
      <c r="H28" s="20"/>
      <c r="I28" s="21" t="str">
        <f aca="false">IF(G28="","",G28+N(H28))</f>
        <v/>
      </c>
      <c r="J28" s="22"/>
      <c r="K28" s="23"/>
      <c r="L28" s="23"/>
      <c r="M28" s="4"/>
    </row>
    <row r="29" customFormat="false" ht="15" hidden="false" customHeight="false" outlineLevel="0" collapsed="false">
      <c r="A29" s="18" t="n">
        <v>25</v>
      </c>
      <c r="B29" s="16"/>
      <c r="C29" s="16"/>
      <c r="D29" s="16"/>
      <c r="E29" s="19" t="str">
        <f aca="false">IF(D29="","",IFERROR(INDEX(対象タスク!$B$5:$B$12,MATCH(D29,対象タスク!$A$5:$A$12,0)),"未定義"))</f>
        <v/>
      </c>
      <c r="F29" s="17"/>
      <c r="G29" s="20"/>
      <c r="H29" s="20"/>
      <c r="I29" s="21" t="str">
        <f aca="false">IF(G29="","",G29+N(H29))</f>
        <v/>
      </c>
      <c r="J29" s="22"/>
      <c r="K29" s="23"/>
      <c r="L29" s="23"/>
      <c r="M29" s="4"/>
    </row>
    <row r="30" customFormat="false" ht="15" hidden="false" customHeight="false" outlineLevel="0" collapsed="false">
      <c r="A30" s="18" t="n">
        <v>26</v>
      </c>
      <c r="B30" s="16"/>
      <c r="C30" s="16"/>
      <c r="D30" s="16"/>
      <c r="E30" s="19" t="str">
        <f aca="false">IF(D30="","",IFERROR(INDEX(対象タスク!$B$5:$B$12,MATCH(D30,対象タスク!$A$5:$A$12,0)),"未定義"))</f>
        <v/>
      </c>
      <c r="F30" s="17"/>
      <c r="G30" s="20"/>
      <c r="H30" s="20"/>
      <c r="I30" s="21" t="str">
        <f aca="false">IF(G30="","",G30+N(H30))</f>
        <v/>
      </c>
      <c r="J30" s="22"/>
      <c r="K30" s="23"/>
      <c r="L30" s="23"/>
      <c r="M30" s="4"/>
    </row>
    <row r="31" customFormat="false" ht="15" hidden="false" customHeight="false" outlineLevel="0" collapsed="false">
      <c r="A31" s="18" t="n">
        <v>27</v>
      </c>
      <c r="B31" s="16"/>
      <c r="C31" s="16"/>
      <c r="D31" s="16"/>
      <c r="E31" s="19" t="str">
        <f aca="false">IF(D31="","",IFERROR(INDEX(対象タスク!$B$5:$B$12,MATCH(D31,対象タスク!$A$5:$A$12,0)),"未定義"))</f>
        <v/>
      </c>
      <c r="F31" s="17"/>
      <c r="G31" s="20"/>
      <c r="H31" s="20"/>
      <c r="I31" s="21" t="str">
        <f aca="false">IF(G31="","",G31+N(H31))</f>
        <v/>
      </c>
      <c r="J31" s="22"/>
      <c r="K31" s="23"/>
      <c r="L31" s="23"/>
      <c r="M31" s="4"/>
    </row>
    <row r="32" customFormat="false" ht="15" hidden="false" customHeight="false" outlineLevel="0" collapsed="false">
      <c r="A32" s="18" t="n">
        <v>28</v>
      </c>
      <c r="B32" s="16"/>
      <c r="C32" s="16"/>
      <c r="D32" s="16"/>
      <c r="E32" s="19" t="str">
        <f aca="false">IF(D32="","",IFERROR(INDEX(対象タスク!$B$5:$B$12,MATCH(D32,対象タスク!$A$5:$A$12,0)),"未定義"))</f>
        <v/>
      </c>
      <c r="F32" s="17"/>
      <c r="G32" s="20"/>
      <c r="H32" s="20"/>
      <c r="I32" s="21" t="str">
        <f aca="false">IF(G32="","",G32+N(H32))</f>
        <v/>
      </c>
      <c r="J32" s="22"/>
      <c r="K32" s="23"/>
      <c r="L32" s="23"/>
      <c r="M32" s="4"/>
    </row>
    <row r="33" customFormat="false" ht="15" hidden="false" customHeight="false" outlineLevel="0" collapsed="false">
      <c r="A33" s="18" t="n">
        <v>29</v>
      </c>
      <c r="B33" s="16"/>
      <c r="C33" s="16"/>
      <c r="D33" s="16"/>
      <c r="E33" s="19" t="str">
        <f aca="false">IF(D33="","",IFERROR(INDEX(対象タスク!$B$5:$B$12,MATCH(D33,対象タスク!$A$5:$A$12,0)),"未定義"))</f>
        <v/>
      </c>
      <c r="F33" s="17"/>
      <c r="G33" s="20"/>
      <c r="H33" s="20"/>
      <c r="I33" s="21" t="str">
        <f aca="false">IF(G33="","",G33+N(H33))</f>
        <v/>
      </c>
      <c r="J33" s="22"/>
      <c r="K33" s="23"/>
      <c r="L33" s="23"/>
      <c r="M33" s="4"/>
    </row>
    <row r="34" customFormat="false" ht="15" hidden="false" customHeight="false" outlineLevel="0" collapsed="false">
      <c r="A34" s="18" t="n">
        <v>30</v>
      </c>
      <c r="B34" s="16"/>
      <c r="C34" s="16"/>
      <c r="D34" s="16"/>
      <c r="E34" s="19" t="str">
        <f aca="false">IF(D34="","",IFERROR(INDEX(対象タスク!$B$5:$B$12,MATCH(D34,対象タスク!$A$5:$A$12,0)),"未定義"))</f>
        <v/>
      </c>
      <c r="F34" s="17"/>
      <c r="G34" s="20"/>
      <c r="H34" s="20"/>
      <c r="I34" s="21" t="str">
        <f aca="false">IF(G34="","",G34+N(H34))</f>
        <v/>
      </c>
      <c r="J34" s="22"/>
      <c r="K34" s="23"/>
      <c r="L34" s="23"/>
      <c r="M34" s="4"/>
    </row>
    <row r="35" customFormat="false" ht="15" hidden="false" customHeight="false" outlineLevel="0" collapsed="false">
      <c r="A35" s="18" t="n">
        <v>31</v>
      </c>
      <c r="B35" s="16"/>
      <c r="C35" s="16"/>
      <c r="D35" s="16"/>
      <c r="E35" s="19" t="str">
        <f aca="false">IF(D35="","",IFERROR(INDEX(対象タスク!$B$5:$B$12,MATCH(D35,対象タスク!$A$5:$A$12,0)),"未定義"))</f>
        <v/>
      </c>
      <c r="F35" s="17"/>
      <c r="G35" s="20"/>
      <c r="H35" s="20"/>
      <c r="I35" s="21" t="str">
        <f aca="false">IF(G35="","",G35+N(H35))</f>
        <v/>
      </c>
      <c r="J35" s="22"/>
      <c r="K35" s="23"/>
      <c r="L35" s="23"/>
      <c r="M35" s="4"/>
    </row>
    <row r="36" customFormat="false" ht="15" hidden="false" customHeight="false" outlineLevel="0" collapsed="false">
      <c r="A36" s="18" t="n">
        <v>32</v>
      </c>
      <c r="B36" s="16"/>
      <c r="C36" s="16"/>
      <c r="D36" s="16"/>
      <c r="E36" s="19" t="str">
        <f aca="false">IF(D36="","",IFERROR(INDEX(対象タスク!$B$5:$B$12,MATCH(D36,対象タスク!$A$5:$A$12,0)),"未定義"))</f>
        <v/>
      </c>
      <c r="F36" s="17"/>
      <c r="G36" s="20"/>
      <c r="H36" s="20"/>
      <c r="I36" s="21" t="str">
        <f aca="false">IF(G36="","",G36+N(H36))</f>
        <v/>
      </c>
      <c r="J36" s="22"/>
      <c r="K36" s="23"/>
      <c r="L36" s="23"/>
      <c r="M36" s="4"/>
    </row>
    <row r="37" customFormat="false" ht="15" hidden="false" customHeight="false" outlineLevel="0" collapsed="false">
      <c r="A37" s="18" t="n">
        <v>33</v>
      </c>
      <c r="B37" s="16"/>
      <c r="C37" s="16"/>
      <c r="D37" s="16"/>
      <c r="E37" s="19" t="str">
        <f aca="false">IF(D37="","",IFERROR(INDEX(対象タスク!$B$5:$B$12,MATCH(D37,対象タスク!$A$5:$A$12,0)),"未定義"))</f>
        <v/>
      </c>
      <c r="F37" s="17"/>
      <c r="G37" s="20"/>
      <c r="H37" s="20"/>
      <c r="I37" s="21" t="str">
        <f aca="false">IF(G37="","",G37+N(H37))</f>
        <v/>
      </c>
      <c r="J37" s="22"/>
      <c r="K37" s="23"/>
      <c r="L37" s="23"/>
      <c r="M37" s="4"/>
    </row>
    <row r="38" customFormat="false" ht="15" hidden="false" customHeight="false" outlineLevel="0" collapsed="false">
      <c r="A38" s="18" t="n">
        <v>34</v>
      </c>
      <c r="B38" s="16"/>
      <c r="C38" s="16"/>
      <c r="D38" s="16"/>
      <c r="E38" s="19" t="str">
        <f aca="false">IF(D38="","",IFERROR(INDEX(対象タスク!$B$5:$B$12,MATCH(D38,対象タスク!$A$5:$A$12,0)),"未定義"))</f>
        <v/>
      </c>
      <c r="F38" s="17"/>
      <c r="G38" s="20"/>
      <c r="H38" s="20"/>
      <c r="I38" s="21" t="str">
        <f aca="false">IF(G38="","",G38+N(H38))</f>
        <v/>
      </c>
      <c r="J38" s="22"/>
      <c r="K38" s="23"/>
      <c r="L38" s="23"/>
      <c r="M38" s="4"/>
    </row>
    <row r="39" customFormat="false" ht="15" hidden="false" customHeight="false" outlineLevel="0" collapsed="false">
      <c r="A39" s="18" t="n">
        <v>35</v>
      </c>
      <c r="B39" s="16"/>
      <c r="C39" s="16"/>
      <c r="D39" s="16"/>
      <c r="E39" s="19" t="str">
        <f aca="false">IF(D39="","",IFERROR(INDEX(対象タスク!$B$5:$B$12,MATCH(D39,対象タスク!$A$5:$A$12,0)),"未定義"))</f>
        <v/>
      </c>
      <c r="F39" s="17"/>
      <c r="G39" s="20"/>
      <c r="H39" s="20"/>
      <c r="I39" s="21" t="str">
        <f aca="false">IF(G39="","",G39+N(H39))</f>
        <v/>
      </c>
      <c r="J39" s="22"/>
      <c r="K39" s="23"/>
      <c r="L39" s="23"/>
      <c r="M39" s="4"/>
    </row>
    <row r="40" customFormat="false" ht="15" hidden="false" customHeight="false" outlineLevel="0" collapsed="false">
      <c r="A40" s="18" t="n">
        <v>36</v>
      </c>
      <c r="B40" s="16"/>
      <c r="C40" s="16"/>
      <c r="D40" s="16"/>
      <c r="E40" s="19" t="str">
        <f aca="false">IF(D40="","",IFERROR(INDEX(対象タスク!$B$5:$B$12,MATCH(D40,対象タスク!$A$5:$A$12,0)),"未定義"))</f>
        <v/>
      </c>
      <c r="F40" s="17"/>
      <c r="G40" s="20"/>
      <c r="H40" s="20"/>
      <c r="I40" s="21" t="str">
        <f aca="false">IF(G40="","",G40+N(H40))</f>
        <v/>
      </c>
      <c r="J40" s="22"/>
      <c r="K40" s="23"/>
      <c r="L40" s="23"/>
      <c r="M40" s="4"/>
    </row>
    <row r="41" customFormat="false" ht="15" hidden="false" customHeight="false" outlineLevel="0" collapsed="false">
      <c r="A41" s="18" t="n">
        <v>37</v>
      </c>
      <c r="B41" s="16"/>
      <c r="C41" s="16"/>
      <c r="D41" s="16"/>
      <c r="E41" s="19" t="str">
        <f aca="false">IF(D41="","",IFERROR(INDEX(対象タスク!$B$5:$B$12,MATCH(D41,対象タスク!$A$5:$A$12,0)),"未定義"))</f>
        <v/>
      </c>
      <c r="F41" s="17"/>
      <c r="G41" s="20"/>
      <c r="H41" s="20"/>
      <c r="I41" s="21" t="str">
        <f aca="false">IF(G41="","",G41+N(H41))</f>
        <v/>
      </c>
      <c r="J41" s="22"/>
      <c r="K41" s="23"/>
      <c r="L41" s="23"/>
      <c r="M41" s="4"/>
    </row>
    <row r="42" customFormat="false" ht="15" hidden="false" customHeight="false" outlineLevel="0" collapsed="false">
      <c r="A42" s="18" t="n">
        <v>38</v>
      </c>
      <c r="B42" s="16"/>
      <c r="C42" s="16"/>
      <c r="D42" s="16"/>
      <c r="E42" s="19" t="str">
        <f aca="false">IF(D42="","",IFERROR(INDEX(対象タスク!$B$5:$B$12,MATCH(D42,対象タスク!$A$5:$A$12,0)),"未定義"))</f>
        <v/>
      </c>
      <c r="F42" s="17"/>
      <c r="G42" s="20"/>
      <c r="H42" s="20"/>
      <c r="I42" s="21" t="str">
        <f aca="false">IF(G42="","",G42+N(H42))</f>
        <v/>
      </c>
      <c r="J42" s="22"/>
      <c r="K42" s="23"/>
      <c r="L42" s="23"/>
      <c r="M42" s="4"/>
    </row>
    <row r="43" customFormat="false" ht="15" hidden="false" customHeight="false" outlineLevel="0" collapsed="false">
      <c r="A43" s="18" t="n">
        <v>39</v>
      </c>
      <c r="B43" s="16"/>
      <c r="C43" s="16"/>
      <c r="D43" s="16"/>
      <c r="E43" s="19" t="str">
        <f aca="false">IF(D43="","",IFERROR(INDEX(対象タスク!$B$5:$B$12,MATCH(D43,対象タスク!$A$5:$A$12,0)),"未定義"))</f>
        <v/>
      </c>
      <c r="F43" s="17"/>
      <c r="G43" s="20"/>
      <c r="H43" s="20"/>
      <c r="I43" s="21" t="str">
        <f aca="false">IF(G43="","",G43+N(H43))</f>
        <v/>
      </c>
      <c r="J43" s="22"/>
      <c r="K43" s="23"/>
      <c r="L43" s="23"/>
      <c r="M43" s="4"/>
    </row>
    <row r="44" customFormat="false" ht="15" hidden="false" customHeight="false" outlineLevel="0" collapsed="false">
      <c r="A44" s="18" t="n">
        <v>40</v>
      </c>
      <c r="B44" s="16"/>
      <c r="C44" s="16"/>
      <c r="D44" s="16"/>
      <c r="E44" s="19" t="str">
        <f aca="false">IF(D44="","",IFERROR(INDEX(対象タスク!$B$5:$B$12,MATCH(D44,対象タスク!$A$5:$A$12,0)),"未定義"))</f>
        <v/>
      </c>
      <c r="F44" s="17"/>
      <c r="G44" s="20"/>
      <c r="H44" s="20"/>
      <c r="I44" s="21" t="str">
        <f aca="false">IF(G44="","",G44+N(H44))</f>
        <v/>
      </c>
      <c r="J44" s="22"/>
      <c r="K44" s="23"/>
      <c r="L44" s="23"/>
      <c r="M44" s="4"/>
    </row>
    <row r="45" customFormat="false" ht="15" hidden="false" customHeight="false" outlineLevel="0" collapsed="false">
      <c r="A45" s="18" t="n">
        <v>41</v>
      </c>
      <c r="B45" s="16"/>
      <c r="C45" s="16"/>
      <c r="D45" s="16"/>
      <c r="E45" s="19" t="str">
        <f aca="false">IF(D45="","",IFERROR(INDEX(対象タスク!$B$5:$B$12,MATCH(D45,対象タスク!$A$5:$A$12,0)),"未定義"))</f>
        <v/>
      </c>
      <c r="F45" s="17"/>
      <c r="G45" s="20"/>
      <c r="H45" s="20"/>
      <c r="I45" s="21" t="str">
        <f aca="false">IF(G45="","",G45+N(H45))</f>
        <v/>
      </c>
      <c r="J45" s="22"/>
      <c r="K45" s="23"/>
      <c r="L45" s="23"/>
      <c r="M45" s="4"/>
    </row>
    <row r="46" customFormat="false" ht="15" hidden="false" customHeight="false" outlineLevel="0" collapsed="false">
      <c r="A46" s="18" t="n">
        <v>42</v>
      </c>
      <c r="B46" s="16"/>
      <c r="C46" s="16"/>
      <c r="D46" s="16"/>
      <c r="E46" s="19" t="str">
        <f aca="false">IF(D46="","",IFERROR(INDEX(対象タスク!$B$5:$B$12,MATCH(D46,対象タスク!$A$5:$A$12,0)),"未定義"))</f>
        <v/>
      </c>
      <c r="F46" s="17"/>
      <c r="G46" s="20"/>
      <c r="H46" s="20"/>
      <c r="I46" s="21" t="str">
        <f aca="false">IF(G46="","",G46+N(H46))</f>
        <v/>
      </c>
      <c r="J46" s="22"/>
      <c r="K46" s="23"/>
      <c r="L46" s="23"/>
      <c r="M46" s="4"/>
    </row>
    <row r="47" customFormat="false" ht="15" hidden="false" customHeight="false" outlineLevel="0" collapsed="false">
      <c r="A47" s="18" t="n">
        <v>43</v>
      </c>
      <c r="B47" s="16"/>
      <c r="C47" s="16"/>
      <c r="D47" s="16"/>
      <c r="E47" s="19" t="str">
        <f aca="false">IF(D47="","",IFERROR(INDEX(対象タスク!$B$5:$B$12,MATCH(D47,対象タスク!$A$5:$A$12,0)),"未定義"))</f>
        <v/>
      </c>
      <c r="F47" s="17"/>
      <c r="G47" s="20"/>
      <c r="H47" s="20"/>
      <c r="I47" s="21" t="str">
        <f aca="false">IF(G47="","",G47+N(H47))</f>
        <v/>
      </c>
      <c r="J47" s="22"/>
      <c r="K47" s="23"/>
      <c r="L47" s="23"/>
      <c r="M47" s="4"/>
    </row>
    <row r="48" customFormat="false" ht="15" hidden="false" customHeight="false" outlineLevel="0" collapsed="false">
      <c r="A48" s="18" t="n">
        <v>44</v>
      </c>
      <c r="B48" s="16"/>
      <c r="C48" s="16"/>
      <c r="D48" s="16"/>
      <c r="E48" s="19" t="str">
        <f aca="false">IF(D48="","",IFERROR(INDEX(対象タスク!$B$5:$B$12,MATCH(D48,対象タスク!$A$5:$A$12,0)),"未定義"))</f>
        <v/>
      </c>
      <c r="F48" s="17"/>
      <c r="G48" s="20"/>
      <c r="H48" s="20"/>
      <c r="I48" s="21" t="str">
        <f aca="false">IF(G48="","",G48+N(H48))</f>
        <v/>
      </c>
      <c r="J48" s="22"/>
      <c r="K48" s="23"/>
      <c r="L48" s="23"/>
      <c r="M48" s="4"/>
    </row>
    <row r="49" customFormat="false" ht="15" hidden="false" customHeight="false" outlineLevel="0" collapsed="false">
      <c r="A49" s="18" t="n">
        <v>45</v>
      </c>
      <c r="B49" s="16"/>
      <c r="C49" s="16"/>
      <c r="D49" s="16"/>
      <c r="E49" s="19" t="str">
        <f aca="false">IF(D49="","",IFERROR(INDEX(対象タスク!$B$5:$B$12,MATCH(D49,対象タスク!$A$5:$A$12,0)),"未定義"))</f>
        <v/>
      </c>
      <c r="F49" s="17"/>
      <c r="G49" s="20"/>
      <c r="H49" s="20"/>
      <c r="I49" s="21" t="str">
        <f aca="false">IF(G49="","",G49+N(H49))</f>
        <v/>
      </c>
      <c r="J49" s="22"/>
      <c r="K49" s="23"/>
      <c r="L49" s="23"/>
      <c r="M49" s="4"/>
    </row>
    <row r="50" customFormat="false" ht="15" hidden="false" customHeight="false" outlineLevel="0" collapsed="false">
      <c r="A50" s="18" t="n">
        <v>46</v>
      </c>
      <c r="B50" s="16"/>
      <c r="C50" s="16"/>
      <c r="D50" s="16"/>
      <c r="E50" s="19" t="str">
        <f aca="false">IF(D50="","",IFERROR(INDEX(対象タスク!$B$5:$B$12,MATCH(D50,対象タスク!$A$5:$A$12,0)),"未定義"))</f>
        <v/>
      </c>
      <c r="F50" s="17"/>
      <c r="G50" s="20"/>
      <c r="H50" s="20"/>
      <c r="I50" s="21" t="str">
        <f aca="false">IF(G50="","",G50+N(H50))</f>
        <v/>
      </c>
      <c r="J50" s="22"/>
      <c r="K50" s="23"/>
      <c r="L50" s="23"/>
      <c r="M50" s="4"/>
    </row>
    <row r="51" customFormat="false" ht="15" hidden="false" customHeight="false" outlineLevel="0" collapsed="false">
      <c r="A51" s="18" t="n">
        <v>47</v>
      </c>
      <c r="B51" s="16"/>
      <c r="C51" s="16"/>
      <c r="D51" s="16"/>
      <c r="E51" s="19" t="str">
        <f aca="false">IF(D51="","",IFERROR(INDEX(対象タスク!$B$5:$B$12,MATCH(D51,対象タスク!$A$5:$A$12,0)),"未定義"))</f>
        <v/>
      </c>
      <c r="F51" s="17"/>
      <c r="G51" s="20"/>
      <c r="H51" s="20"/>
      <c r="I51" s="21" t="str">
        <f aca="false">IF(G51="","",G51+N(H51))</f>
        <v/>
      </c>
      <c r="J51" s="22"/>
      <c r="K51" s="23"/>
      <c r="L51" s="23"/>
      <c r="M51" s="4"/>
    </row>
    <row r="52" customFormat="false" ht="15" hidden="false" customHeight="false" outlineLevel="0" collapsed="false">
      <c r="A52" s="18" t="n">
        <v>48</v>
      </c>
      <c r="B52" s="16"/>
      <c r="C52" s="16"/>
      <c r="D52" s="16"/>
      <c r="E52" s="19" t="str">
        <f aca="false">IF(D52="","",IFERROR(INDEX(対象タスク!$B$5:$B$12,MATCH(D52,対象タスク!$A$5:$A$12,0)),"未定義"))</f>
        <v/>
      </c>
      <c r="F52" s="17"/>
      <c r="G52" s="20"/>
      <c r="H52" s="20"/>
      <c r="I52" s="21" t="str">
        <f aca="false">IF(G52="","",G52+N(H52))</f>
        <v/>
      </c>
      <c r="J52" s="22"/>
      <c r="K52" s="23"/>
      <c r="L52" s="23"/>
      <c r="M52" s="4"/>
    </row>
    <row r="53" customFormat="false" ht="15" hidden="false" customHeight="false" outlineLevel="0" collapsed="false">
      <c r="A53" s="18" t="n">
        <v>49</v>
      </c>
      <c r="B53" s="16"/>
      <c r="C53" s="16"/>
      <c r="D53" s="16"/>
      <c r="E53" s="19" t="str">
        <f aca="false">IF(D53="","",IFERROR(INDEX(対象タスク!$B$5:$B$12,MATCH(D53,対象タスク!$A$5:$A$12,0)),"未定義"))</f>
        <v/>
      </c>
      <c r="F53" s="17"/>
      <c r="G53" s="20"/>
      <c r="H53" s="20"/>
      <c r="I53" s="21" t="str">
        <f aca="false">IF(G53="","",G53+N(H53))</f>
        <v/>
      </c>
      <c r="J53" s="22"/>
      <c r="K53" s="23"/>
      <c r="L53" s="23"/>
      <c r="M53" s="4"/>
    </row>
    <row r="54" customFormat="false" ht="15" hidden="false" customHeight="false" outlineLevel="0" collapsed="false">
      <c r="A54" s="18" t="n">
        <v>50</v>
      </c>
      <c r="B54" s="16"/>
      <c r="C54" s="16"/>
      <c r="D54" s="16"/>
      <c r="E54" s="19" t="str">
        <f aca="false">IF(D54="","",IFERROR(INDEX(対象タスク!$B$5:$B$12,MATCH(D54,対象タスク!$A$5:$A$12,0)),"未定義"))</f>
        <v/>
      </c>
      <c r="F54" s="17"/>
      <c r="G54" s="20"/>
      <c r="H54" s="20"/>
      <c r="I54" s="21" t="str">
        <f aca="false">IF(G54="","",G54+N(H54))</f>
        <v/>
      </c>
      <c r="J54" s="22"/>
      <c r="K54" s="23"/>
      <c r="L54" s="23"/>
      <c r="M54" s="4"/>
    </row>
    <row r="55" customFormat="false" ht="15" hidden="false" customHeight="false" outlineLevel="0" collapsed="false">
      <c r="A55" s="18" t="n">
        <v>51</v>
      </c>
      <c r="B55" s="16"/>
      <c r="C55" s="16"/>
      <c r="D55" s="16"/>
      <c r="E55" s="19" t="str">
        <f aca="false">IF(D55="","",IFERROR(INDEX(対象タスク!$B$5:$B$12,MATCH(D55,対象タスク!$A$5:$A$12,0)),"未定義"))</f>
        <v/>
      </c>
      <c r="F55" s="17"/>
      <c r="G55" s="20"/>
      <c r="H55" s="20"/>
      <c r="I55" s="21" t="str">
        <f aca="false">IF(G55="","",G55+N(H55))</f>
        <v/>
      </c>
      <c r="J55" s="22"/>
      <c r="K55" s="23"/>
      <c r="L55" s="23"/>
      <c r="M55" s="4"/>
    </row>
    <row r="56" customFormat="false" ht="15" hidden="false" customHeight="false" outlineLevel="0" collapsed="false">
      <c r="A56" s="18" t="n">
        <v>52</v>
      </c>
      <c r="B56" s="16"/>
      <c r="C56" s="16"/>
      <c r="D56" s="16"/>
      <c r="E56" s="19" t="str">
        <f aca="false">IF(D56="","",IFERROR(INDEX(対象タスク!$B$5:$B$12,MATCH(D56,対象タスク!$A$5:$A$12,0)),"未定義"))</f>
        <v/>
      </c>
      <c r="F56" s="17"/>
      <c r="G56" s="20"/>
      <c r="H56" s="20"/>
      <c r="I56" s="21" t="str">
        <f aca="false">IF(G56="","",G56+N(H56))</f>
        <v/>
      </c>
      <c r="J56" s="22"/>
      <c r="K56" s="23"/>
      <c r="L56" s="23"/>
      <c r="M56" s="4"/>
    </row>
    <row r="57" customFormat="false" ht="15" hidden="false" customHeight="false" outlineLevel="0" collapsed="false">
      <c r="A57" s="18" t="n">
        <v>53</v>
      </c>
      <c r="B57" s="16"/>
      <c r="C57" s="16"/>
      <c r="D57" s="16"/>
      <c r="E57" s="19" t="str">
        <f aca="false">IF(D57="","",IFERROR(INDEX(対象タスク!$B$5:$B$12,MATCH(D57,対象タスク!$A$5:$A$12,0)),"未定義"))</f>
        <v/>
      </c>
      <c r="F57" s="17"/>
      <c r="G57" s="20"/>
      <c r="H57" s="20"/>
      <c r="I57" s="21" t="str">
        <f aca="false">IF(G57="","",G57+N(H57))</f>
        <v/>
      </c>
      <c r="J57" s="22"/>
      <c r="K57" s="23"/>
      <c r="L57" s="23"/>
      <c r="M57" s="4"/>
    </row>
    <row r="58" customFormat="false" ht="15" hidden="false" customHeight="false" outlineLevel="0" collapsed="false">
      <c r="A58" s="18" t="n">
        <v>54</v>
      </c>
      <c r="B58" s="16"/>
      <c r="C58" s="16"/>
      <c r="D58" s="16"/>
      <c r="E58" s="19" t="str">
        <f aca="false">IF(D58="","",IFERROR(INDEX(対象タスク!$B$5:$B$12,MATCH(D58,対象タスク!$A$5:$A$12,0)),"未定義"))</f>
        <v/>
      </c>
      <c r="F58" s="17"/>
      <c r="G58" s="20"/>
      <c r="H58" s="20"/>
      <c r="I58" s="21" t="str">
        <f aca="false">IF(G58="","",G58+N(H58))</f>
        <v/>
      </c>
      <c r="J58" s="22"/>
      <c r="K58" s="23"/>
      <c r="L58" s="23"/>
      <c r="M58" s="4"/>
    </row>
    <row r="59" customFormat="false" ht="15" hidden="false" customHeight="false" outlineLevel="0" collapsed="false">
      <c r="A59" s="18" t="n">
        <v>55</v>
      </c>
      <c r="B59" s="16"/>
      <c r="C59" s="16"/>
      <c r="D59" s="16"/>
      <c r="E59" s="19" t="str">
        <f aca="false">IF(D59="","",IFERROR(INDEX(対象タスク!$B$5:$B$12,MATCH(D59,対象タスク!$A$5:$A$12,0)),"未定義"))</f>
        <v/>
      </c>
      <c r="F59" s="17"/>
      <c r="G59" s="20"/>
      <c r="H59" s="20"/>
      <c r="I59" s="21" t="str">
        <f aca="false">IF(G59="","",G59+N(H59))</f>
        <v/>
      </c>
      <c r="J59" s="22"/>
      <c r="K59" s="23"/>
      <c r="L59" s="23"/>
      <c r="M59" s="4"/>
    </row>
    <row r="60" customFormat="false" ht="15" hidden="false" customHeight="false" outlineLevel="0" collapsed="false">
      <c r="A60" s="18" t="n">
        <v>56</v>
      </c>
      <c r="B60" s="16"/>
      <c r="C60" s="16"/>
      <c r="D60" s="16"/>
      <c r="E60" s="19" t="str">
        <f aca="false">IF(D60="","",IFERROR(INDEX(対象タスク!$B$5:$B$12,MATCH(D60,対象タスク!$A$5:$A$12,0)),"未定義"))</f>
        <v/>
      </c>
      <c r="F60" s="17"/>
      <c r="G60" s="20"/>
      <c r="H60" s="20"/>
      <c r="I60" s="21" t="str">
        <f aca="false">IF(G60="","",G60+N(H60))</f>
        <v/>
      </c>
      <c r="J60" s="22"/>
      <c r="K60" s="23"/>
      <c r="L60" s="23"/>
      <c r="M60" s="4"/>
    </row>
    <row r="61" customFormat="false" ht="15" hidden="false" customHeight="false" outlineLevel="0" collapsed="false">
      <c r="A61" s="18" t="n">
        <v>57</v>
      </c>
      <c r="B61" s="16"/>
      <c r="C61" s="16"/>
      <c r="D61" s="16"/>
      <c r="E61" s="19" t="str">
        <f aca="false">IF(D61="","",IFERROR(INDEX(対象タスク!$B$5:$B$12,MATCH(D61,対象タスク!$A$5:$A$12,0)),"未定義"))</f>
        <v/>
      </c>
      <c r="F61" s="17"/>
      <c r="G61" s="20"/>
      <c r="H61" s="20"/>
      <c r="I61" s="21" t="str">
        <f aca="false">IF(G61="","",G61+N(H61))</f>
        <v/>
      </c>
      <c r="J61" s="22"/>
      <c r="K61" s="23"/>
      <c r="L61" s="23"/>
      <c r="M61" s="4"/>
    </row>
    <row r="62" customFormat="false" ht="15" hidden="false" customHeight="false" outlineLevel="0" collapsed="false">
      <c r="A62" s="18" t="n">
        <v>58</v>
      </c>
      <c r="B62" s="16"/>
      <c r="C62" s="16"/>
      <c r="D62" s="16"/>
      <c r="E62" s="19" t="str">
        <f aca="false">IF(D62="","",IFERROR(INDEX(対象タスク!$B$5:$B$12,MATCH(D62,対象タスク!$A$5:$A$12,0)),"未定義"))</f>
        <v/>
      </c>
      <c r="F62" s="17"/>
      <c r="G62" s="20"/>
      <c r="H62" s="20"/>
      <c r="I62" s="21" t="str">
        <f aca="false">IF(G62="","",G62+N(H62))</f>
        <v/>
      </c>
      <c r="J62" s="22"/>
      <c r="K62" s="23"/>
      <c r="L62" s="23"/>
      <c r="M62" s="4"/>
    </row>
    <row r="63" customFormat="false" ht="15" hidden="false" customHeight="false" outlineLevel="0" collapsed="false">
      <c r="A63" s="18" t="n">
        <v>59</v>
      </c>
      <c r="B63" s="16"/>
      <c r="C63" s="16"/>
      <c r="D63" s="16"/>
      <c r="E63" s="19" t="str">
        <f aca="false">IF(D63="","",IFERROR(INDEX(対象タスク!$B$5:$B$12,MATCH(D63,対象タスク!$A$5:$A$12,0)),"未定義"))</f>
        <v/>
      </c>
      <c r="F63" s="17"/>
      <c r="G63" s="20"/>
      <c r="H63" s="20"/>
      <c r="I63" s="21" t="str">
        <f aca="false">IF(G63="","",G63+N(H63))</f>
        <v/>
      </c>
      <c r="J63" s="22"/>
      <c r="K63" s="23"/>
      <c r="L63" s="23"/>
      <c r="M63" s="4"/>
    </row>
    <row r="64" customFormat="false" ht="15" hidden="false" customHeight="false" outlineLevel="0" collapsed="false">
      <c r="A64" s="18" t="n">
        <v>60</v>
      </c>
      <c r="B64" s="16"/>
      <c r="C64" s="16"/>
      <c r="D64" s="16"/>
      <c r="E64" s="19" t="str">
        <f aca="false">IF(D64="","",IFERROR(INDEX(対象タスク!$B$5:$B$12,MATCH(D64,対象タスク!$A$5:$A$12,0)),"未定義"))</f>
        <v/>
      </c>
      <c r="F64" s="17"/>
      <c r="G64" s="20"/>
      <c r="H64" s="20"/>
      <c r="I64" s="21" t="str">
        <f aca="false">IF(G64="","",G64+N(H64))</f>
        <v/>
      </c>
      <c r="J64" s="22"/>
      <c r="K64" s="23"/>
      <c r="L64" s="23"/>
      <c r="M64" s="4"/>
    </row>
    <row r="65" customFormat="false" ht="15" hidden="false" customHeight="false" outlineLevel="0" collapsed="false">
      <c r="A65" s="18" t="n">
        <v>61</v>
      </c>
      <c r="B65" s="16"/>
      <c r="C65" s="16"/>
      <c r="D65" s="16"/>
      <c r="E65" s="19" t="str">
        <f aca="false">IF(D65="","",IFERROR(INDEX(対象タスク!$B$5:$B$12,MATCH(D65,対象タスク!$A$5:$A$12,0)),"未定義"))</f>
        <v/>
      </c>
      <c r="F65" s="17"/>
      <c r="G65" s="20"/>
      <c r="H65" s="20"/>
      <c r="I65" s="21" t="str">
        <f aca="false">IF(G65="","",G65+N(H65))</f>
        <v/>
      </c>
      <c r="J65" s="22"/>
      <c r="K65" s="23"/>
      <c r="L65" s="23"/>
      <c r="M65" s="4"/>
    </row>
    <row r="66" customFormat="false" ht="15" hidden="false" customHeight="false" outlineLevel="0" collapsed="false">
      <c r="A66" s="18" t="n">
        <v>62</v>
      </c>
      <c r="B66" s="16"/>
      <c r="C66" s="16"/>
      <c r="D66" s="16"/>
      <c r="E66" s="19" t="str">
        <f aca="false">IF(D66="","",IFERROR(INDEX(対象タスク!$B$5:$B$12,MATCH(D66,対象タスク!$A$5:$A$12,0)),"未定義"))</f>
        <v/>
      </c>
      <c r="F66" s="17"/>
      <c r="G66" s="20"/>
      <c r="H66" s="20"/>
      <c r="I66" s="21" t="str">
        <f aca="false">IF(G66="","",G66+N(H66))</f>
        <v/>
      </c>
      <c r="J66" s="22"/>
      <c r="K66" s="23"/>
      <c r="L66" s="23"/>
      <c r="M66" s="4"/>
    </row>
    <row r="67" customFormat="false" ht="15" hidden="false" customHeight="false" outlineLevel="0" collapsed="false">
      <c r="A67" s="18" t="n">
        <v>63</v>
      </c>
      <c r="B67" s="16"/>
      <c r="C67" s="16"/>
      <c r="D67" s="16"/>
      <c r="E67" s="19" t="str">
        <f aca="false">IF(D67="","",IFERROR(INDEX(対象タスク!$B$5:$B$12,MATCH(D67,対象タスク!$A$5:$A$12,0)),"未定義"))</f>
        <v/>
      </c>
      <c r="F67" s="17"/>
      <c r="G67" s="20"/>
      <c r="H67" s="20"/>
      <c r="I67" s="21" t="str">
        <f aca="false">IF(G67="","",G67+N(H67))</f>
        <v/>
      </c>
      <c r="J67" s="22"/>
      <c r="K67" s="23"/>
      <c r="L67" s="23"/>
      <c r="M67" s="4"/>
    </row>
    <row r="68" customFormat="false" ht="15" hidden="false" customHeight="false" outlineLevel="0" collapsed="false">
      <c r="A68" s="18" t="n">
        <v>64</v>
      </c>
      <c r="B68" s="16"/>
      <c r="C68" s="16"/>
      <c r="D68" s="16"/>
      <c r="E68" s="19" t="str">
        <f aca="false">IF(D68="","",IFERROR(INDEX(対象タスク!$B$5:$B$12,MATCH(D68,対象タスク!$A$5:$A$12,0)),"未定義"))</f>
        <v/>
      </c>
      <c r="F68" s="17"/>
      <c r="G68" s="20"/>
      <c r="H68" s="20"/>
      <c r="I68" s="21" t="str">
        <f aca="false">IF(G68="","",G68+N(H68))</f>
        <v/>
      </c>
      <c r="J68" s="22"/>
      <c r="K68" s="23"/>
      <c r="L68" s="23"/>
      <c r="M68" s="4"/>
    </row>
    <row r="69" customFormat="false" ht="15" hidden="false" customHeight="false" outlineLevel="0" collapsed="false">
      <c r="A69" s="18" t="n">
        <v>65</v>
      </c>
      <c r="B69" s="16"/>
      <c r="C69" s="16"/>
      <c r="D69" s="16"/>
      <c r="E69" s="19" t="str">
        <f aca="false">IF(D69="","",IFERROR(INDEX(対象タスク!$B$5:$B$12,MATCH(D69,対象タスク!$A$5:$A$12,0)),"未定義"))</f>
        <v/>
      </c>
      <c r="F69" s="17"/>
      <c r="G69" s="20"/>
      <c r="H69" s="20"/>
      <c r="I69" s="21" t="str">
        <f aca="false">IF(G69="","",G69+N(H69))</f>
        <v/>
      </c>
      <c r="J69" s="22"/>
      <c r="K69" s="23"/>
      <c r="L69" s="23"/>
      <c r="M69" s="4"/>
    </row>
    <row r="70" customFormat="false" ht="15" hidden="false" customHeight="false" outlineLevel="0" collapsed="false">
      <c r="A70" s="18" t="n">
        <v>66</v>
      </c>
      <c r="B70" s="16"/>
      <c r="C70" s="16"/>
      <c r="D70" s="16"/>
      <c r="E70" s="19" t="str">
        <f aca="false">IF(D70="","",IFERROR(INDEX(対象タスク!$B$5:$B$12,MATCH(D70,対象タスク!$A$5:$A$12,0)),"未定義"))</f>
        <v/>
      </c>
      <c r="F70" s="17"/>
      <c r="G70" s="20"/>
      <c r="H70" s="20"/>
      <c r="I70" s="21" t="str">
        <f aca="false">IF(G70="","",G70+N(H70))</f>
        <v/>
      </c>
      <c r="J70" s="22"/>
      <c r="K70" s="23"/>
      <c r="L70" s="23"/>
      <c r="M70" s="4"/>
    </row>
    <row r="71" customFormat="false" ht="15" hidden="false" customHeight="false" outlineLevel="0" collapsed="false">
      <c r="A71" s="18" t="n">
        <v>67</v>
      </c>
      <c r="B71" s="16"/>
      <c r="C71" s="16"/>
      <c r="D71" s="16"/>
      <c r="E71" s="19" t="str">
        <f aca="false">IF(D71="","",IFERROR(INDEX(対象タスク!$B$5:$B$12,MATCH(D71,対象タスク!$A$5:$A$12,0)),"未定義"))</f>
        <v/>
      </c>
      <c r="F71" s="17"/>
      <c r="G71" s="20"/>
      <c r="H71" s="20"/>
      <c r="I71" s="21" t="str">
        <f aca="false">IF(G71="","",G71+N(H71))</f>
        <v/>
      </c>
      <c r="J71" s="22"/>
      <c r="K71" s="23"/>
      <c r="L71" s="23"/>
      <c r="M71" s="4"/>
    </row>
    <row r="72" customFormat="false" ht="15" hidden="false" customHeight="false" outlineLevel="0" collapsed="false">
      <c r="A72" s="18" t="n">
        <v>68</v>
      </c>
      <c r="B72" s="16"/>
      <c r="C72" s="16"/>
      <c r="D72" s="16"/>
      <c r="E72" s="19" t="str">
        <f aca="false">IF(D72="","",IFERROR(INDEX(対象タスク!$B$5:$B$12,MATCH(D72,対象タスク!$A$5:$A$12,0)),"未定義"))</f>
        <v/>
      </c>
      <c r="F72" s="17"/>
      <c r="G72" s="20"/>
      <c r="H72" s="20"/>
      <c r="I72" s="21" t="str">
        <f aca="false">IF(G72="","",G72+N(H72))</f>
        <v/>
      </c>
      <c r="J72" s="22"/>
      <c r="K72" s="23"/>
      <c r="L72" s="23"/>
      <c r="M72" s="4"/>
    </row>
    <row r="73" customFormat="false" ht="15" hidden="false" customHeight="false" outlineLevel="0" collapsed="false">
      <c r="A73" s="18" t="n">
        <v>69</v>
      </c>
      <c r="B73" s="16"/>
      <c r="C73" s="16"/>
      <c r="D73" s="16"/>
      <c r="E73" s="19" t="str">
        <f aca="false">IF(D73="","",IFERROR(INDEX(対象タスク!$B$5:$B$12,MATCH(D73,対象タスク!$A$5:$A$12,0)),"未定義"))</f>
        <v/>
      </c>
      <c r="F73" s="17"/>
      <c r="G73" s="20"/>
      <c r="H73" s="20"/>
      <c r="I73" s="21" t="str">
        <f aca="false">IF(G73="","",G73+N(H73))</f>
        <v/>
      </c>
      <c r="J73" s="22"/>
      <c r="K73" s="23"/>
      <c r="L73" s="23"/>
      <c r="M73" s="4"/>
    </row>
    <row r="74" customFormat="false" ht="15" hidden="false" customHeight="false" outlineLevel="0" collapsed="false">
      <c r="A74" s="18" t="n">
        <v>70</v>
      </c>
      <c r="B74" s="16"/>
      <c r="C74" s="16"/>
      <c r="D74" s="16"/>
      <c r="E74" s="19" t="str">
        <f aca="false">IF(D74="","",IFERROR(INDEX(対象タスク!$B$5:$B$12,MATCH(D74,対象タスク!$A$5:$A$12,0)),"未定義"))</f>
        <v/>
      </c>
      <c r="F74" s="17"/>
      <c r="G74" s="20"/>
      <c r="H74" s="20"/>
      <c r="I74" s="21" t="str">
        <f aca="false">IF(G74="","",G74+N(H74))</f>
        <v/>
      </c>
      <c r="J74" s="22"/>
      <c r="K74" s="23"/>
      <c r="L74" s="23"/>
      <c r="M74" s="4"/>
    </row>
    <row r="75" customFormat="false" ht="15" hidden="false" customHeight="false" outlineLevel="0" collapsed="false">
      <c r="A75" s="18" t="n">
        <v>71</v>
      </c>
      <c r="B75" s="16"/>
      <c r="C75" s="16"/>
      <c r="D75" s="16"/>
      <c r="E75" s="19" t="str">
        <f aca="false">IF(D75="","",IFERROR(INDEX(対象タスク!$B$5:$B$12,MATCH(D75,対象タスク!$A$5:$A$12,0)),"未定義"))</f>
        <v/>
      </c>
      <c r="F75" s="17"/>
      <c r="G75" s="20"/>
      <c r="H75" s="20"/>
      <c r="I75" s="21" t="str">
        <f aca="false">IF(G75="","",G75+N(H75))</f>
        <v/>
      </c>
      <c r="J75" s="22"/>
      <c r="K75" s="23"/>
      <c r="L75" s="23"/>
      <c r="M75" s="4"/>
    </row>
    <row r="76" customFormat="false" ht="15" hidden="false" customHeight="false" outlineLevel="0" collapsed="false">
      <c r="A76" s="18" t="n">
        <v>72</v>
      </c>
      <c r="B76" s="16"/>
      <c r="C76" s="16"/>
      <c r="D76" s="16"/>
      <c r="E76" s="19" t="str">
        <f aca="false">IF(D76="","",IFERROR(INDEX(対象タスク!$B$5:$B$12,MATCH(D76,対象タスク!$A$5:$A$12,0)),"未定義"))</f>
        <v/>
      </c>
      <c r="F76" s="17"/>
      <c r="G76" s="20"/>
      <c r="H76" s="20"/>
      <c r="I76" s="21" t="str">
        <f aca="false">IF(G76="","",G76+N(H76))</f>
        <v/>
      </c>
      <c r="J76" s="22"/>
      <c r="K76" s="23"/>
      <c r="L76" s="23"/>
      <c r="M76" s="4"/>
    </row>
    <row r="77" customFormat="false" ht="15" hidden="false" customHeight="false" outlineLevel="0" collapsed="false">
      <c r="A77" s="18" t="n">
        <v>73</v>
      </c>
      <c r="B77" s="16"/>
      <c r="C77" s="16"/>
      <c r="D77" s="16"/>
      <c r="E77" s="19" t="str">
        <f aca="false">IF(D77="","",IFERROR(INDEX(対象タスク!$B$5:$B$12,MATCH(D77,対象タスク!$A$5:$A$12,0)),"未定義"))</f>
        <v/>
      </c>
      <c r="F77" s="17"/>
      <c r="G77" s="20"/>
      <c r="H77" s="20"/>
      <c r="I77" s="21" t="str">
        <f aca="false">IF(G77="","",G77+N(H77))</f>
        <v/>
      </c>
      <c r="J77" s="22"/>
      <c r="K77" s="23"/>
      <c r="L77" s="23"/>
      <c r="M77" s="4"/>
    </row>
    <row r="78" customFormat="false" ht="15" hidden="false" customHeight="false" outlineLevel="0" collapsed="false">
      <c r="A78" s="18" t="n">
        <v>74</v>
      </c>
      <c r="B78" s="16"/>
      <c r="C78" s="16"/>
      <c r="D78" s="16"/>
      <c r="E78" s="19" t="str">
        <f aca="false">IF(D78="","",IFERROR(INDEX(対象タスク!$B$5:$B$12,MATCH(D78,対象タスク!$A$5:$A$12,0)),"未定義"))</f>
        <v/>
      </c>
      <c r="F78" s="17"/>
      <c r="G78" s="20"/>
      <c r="H78" s="20"/>
      <c r="I78" s="21" t="str">
        <f aca="false">IF(G78="","",G78+N(H78))</f>
        <v/>
      </c>
      <c r="J78" s="22"/>
      <c r="K78" s="23"/>
      <c r="L78" s="23"/>
      <c r="M78" s="4"/>
    </row>
    <row r="79" customFormat="false" ht="15" hidden="false" customHeight="false" outlineLevel="0" collapsed="false">
      <c r="A79" s="18" t="n">
        <v>75</v>
      </c>
      <c r="B79" s="16"/>
      <c r="C79" s="16"/>
      <c r="D79" s="16"/>
      <c r="E79" s="19" t="str">
        <f aca="false">IF(D79="","",IFERROR(INDEX(対象タスク!$B$5:$B$12,MATCH(D79,対象タスク!$A$5:$A$12,0)),"未定義"))</f>
        <v/>
      </c>
      <c r="F79" s="17"/>
      <c r="G79" s="20"/>
      <c r="H79" s="20"/>
      <c r="I79" s="21" t="str">
        <f aca="false">IF(G79="","",G79+N(H79))</f>
        <v/>
      </c>
      <c r="J79" s="22"/>
      <c r="K79" s="23"/>
      <c r="L79" s="23"/>
      <c r="M79" s="4"/>
    </row>
    <row r="80" customFormat="false" ht="15" hidden="false" customHeight="false" outlineLevel="0" collapsed="false">
      <c r="A80" s="18" t="n">
        <v>76</v>
      </c>
      <c r="B80" s="16"/>
      <c r="C80" s="16"/>
      <c r="D80" s="16"/>
      <c r="E80" s="19" t="str">
        <f aca="false">IF(D80="","",IFERROR(INDEX(対象タスク!$B$5:$B$12,MATCH(D80,対象タスク!$A$5:$A$12,0)),"未定義"))</f>
        <v/>
      </c>
      <c r="F80" s="17"/>
      <c r="G80" s="20"/>
      <c r="H80" s="20"/>
      <c r="I80" s="21" t="str">
        <f aca="false">IF(G80="","",G80+N(H80))</f>
        <v/>
      </c>
      <c r="J80" s="22"/>
      <c r="K80" s="23"/>
      <c r="L80" s="23"/>
      <c r="M80" s="4"/>
    </row>
    <row r="81" customFormat="false" ht="15" hidden="false" customHeight="false" outlineLevel="0" collapsed="false">
      <c r="A81" s="18" t="n">
        <v>77</v>
      </c>
      <c r="B81" s="16"/>
      <c r="C81" s="16"/>
      <c r="D81" s="16"/>
      <c r="E81" s="19" t="str">
        <f aca="false">IF(D81="","",IFERROR(INDEX(対象タスク!$B$5:$B$12,MATCH(D81,対象タスク!$A$5:$A$12,0)),"未定義"))</f>
        <v/>
      </c>
      <c r="F81" s="17"/>
      <c r="G81" s="20"/>
      <c r="H81" s="20"/>
      <c r="I81" s="21" t="str">
        <f aca="false">IF(G81="","",G81+N(H81))</f>
        <v/>
      </c>
      <c r="J81" s="22"/>
      <c r="K81" s="23"/>
      <c r="L81" s="23"/>
      <c r="M81" s="4"/>
    </row>
    <row r="82" customFormat="false" ht="15" hidden="false" customHeight="false" outlineLevel="0" collapsed="false">
      <c r="A82" s="18" t="n">
        <v>78</v>
      </c>
      <c r="B82" s="16"/>
      <c r="C82" s="16"/>
      <c r="D82" s="16"/>
      <c r="E82" s="19" t="str">
        <f aca="false">IF(D82="","",IFERROR(INDEX(対象タスク!$B$5:$B$12,MATCH(D82,対象タスク!$A$5:$A$12,0)),"未定義"))</f>
        <v/>
      </c>
      <c r="F82" s="17"/>
      <c r="G82" s="20"/>
      <c r="H82" s="20"/>
      <c r="I82" s="21" t="str">
        <f aca="false">IF(G82="","",G82+N(H82))</f>
        <v/>
      </c>
      <c r="J82" s="22"/>
      <c r="K82" s="23"/>
      <c r="L82" s="23"/>
      <c r="M82" s="4"/>
    </row>
    <row r="83" customFormat="false" ht="15" hidden="false" customHeight="false" outlineLevel="0" collapsed="false">
      <c r="A83" s="18" t="n">
        <v>79</v>
      </c>
      <c r="B83" s="16"/>
      <c r="C83" s="16"/>
      <c r="D83" s="16"/>
      <c r="E83" s="19" t="str">
        <f aca="false">IF(D83="","",IFERROR(INDEX(対象タスク!$B$5:$B$12,MATCH(D83,対象タスク!$A$5:$A$12,0)),"未定義"))</f>
        <v/>
      </c>
      <c r="F83" s="17"/>
      <c r="G83" s="20"/>
      <c r="H83" s="20"/>
      <c r="I83" s="21" t="str">
        <f aca="false">IF(G83="","",G83+N(H83))</f>
        <v/>
      </c>
      <c r="J83" s="22"/>
      <c r="K83" s="23"/>
      <c r="L83" s="23"/>
      <c r="M83" s="4"/>
    </row>
    <row r="84" customFormat="false" ht="15" hidden="false" customHeight="false" outlineLevel="0" collapsed="false">
      <c r="A84" s="18" t="n">
        <v>80</v>
      </c>
      <c r="B84" s="16"/>
      <c r="C84" s="16"/>
      <c r="D84" s="16"/>
      <c r="E84" s="19" t="str">
        <f aca="false">IF(D84="","",IFERROR(INDEX(対象タスク!$B$5:$B$12,MATCH(D84,対象タスク!$A$5:$A$12,0)),"未定義"))</f>
        <v/>
      </c>
      <c r="F84" s="17"/>
      <c r="G84" s="20"/>
      <c r="H84" s="20"/>
      <c r="I84" s="21" t="str">
        <f aca="false">IF(G84="","",G84+N(H84))</f>
        <v/>
      </c>
      <c r="J84" s="22"/>
      <c r="K84" s="23"/>
      <c r="L84" s="23"/>
      <c r="M84" s="4"/>
    </row>
    <row r="85" customFormat="false" ht="15" hidden="false" customHeight="false" outlineLevel="0" collapsed="false">
      <c r="A85" s="18" t="n">
        <v>81</v>
      </c>
      <c r="B85" s="16"/>
      <c r="C85" s="16"/>
      <c r="D85" s="16"/>
      <c r="E85" s="19" t="str">
        <f aca="false">IF(D85="","",IFERROR(INDEX(対象タスク!$B$5:$B$12,MATCH(D85,対象タスク!$A$5:$A$12,0)),"未定義"))</f>
        <v/>
      </c>
      <c r="F85" s="17"/>
      <c r="G85" s="20"/>
      <c r="H85" s="20"/>
      <c r="I85" s="21" t="str">
        <f aca="false">IF(G85="","",G85+N(H85))</f>
        <v/>
      </c>
      <c r="J85" s="22"/>
      <c r="K85" s="23"/>
      <c r="L85" s="23"/>
      <c r="M85" s="4"/>
    </row>
    <row r="86" customFormat="false" ht="15" hidden="false" customHeight="false" outlineLevel="0" collapsed="false">
      <c r="A86" s="18" t="n">
        <v>82</v>
      </c>
      <c r="B86" s="16"/>
      <c r="C86" s="16"/>
      <c r="D86" s="16"/>
      <c r="E86" s="19" t="str">
        <f aca="false">IF(D86="","",IFERROR(INDEX(対象タスク!$B$5:$B$12,MATCH(D86,対象タスク!$A$5:$A$12,0)),"未定義"))</f>
        <v/>
      </c>
      <c r="F86" s="17"/>
      <c r="G86" s="20"/>
      <c r="H86" s="20"/>
      <c r="I86" s="21" t="str">
        <f aca="false">IF(G86="","",G86+N(H86))</f>
        <v/>
      </c>
      <c r="J86" s="22"/>
      <c r="K86" s="23"/>
      <c r="L86" s="23"/>
      <c r="M86" s="4"/>
    </row>
    <row r="87" customFormat="false" ht="15" hidden="false" customHeight="false" outlineLevel="0" collapsed="false">
      <c r="A87" s="18" t="n">
        <v>83</v>
      </c>
      <c r="B87" s="16"/>
      <c r="C87" s="16"/>
      <c r="D87" s="16"/>
      <c r="E87" s="19" t="str">
        <f aca="false">IF(D87="","",IFERROR(INDEX(対象タスク!$B$5:$B$12,MATCH(D87,対象タスク!$A$5:$A$12,0)),"未定義"))</f>
        <v/>
      </c>
      <c r="F87" s="17"/>
      <c r="G87" s="20"/>
      <c r="H87" s="20"/>
      <c r="I87" s="21" t="str">
        <f aca="false">IF(G87="","",G87+N(H87))</f>
        <v/>
      </c>
      <c r="J87" s="22"/>
      <c r="K87" s="23"/>
      <c r="L87" s="23"/>
      <c r="M87" s="4"/>
    </row>
    <row r="88" customFormat="false" ht="15" hidden="false" customHeight="false" outlineLevel="0" collapsed="false">
      <c r="A88" s="18" t="n">
        <v>84</v>
      </c>
      <c r="B88" s="16"/>
      <c r="C88" s="16"/>
      <c r="D88" s="16"/>
      <c r="E88" s="19" t="str">
        <f aca="false">IF(D88="","",IFERROR(INDEX(対象タスク!$B$5:$B$12,MATCH(D88,対象タスク!$A$5:$A$12,0)),"未定義"))</f>
        <v/>
      </c>
      <c r="F88" s="17"/>
      <c r="G88" s="20"/>
      <c r="H88" s="20"/>
      <c r="I88" s="21" t="str">
        <f aca="false">IF(G88="","",G88+N(H88))</f>
        <v/>
      </c>
      <c r="J88" s="22"/>
      <c r="K88" s="23"/>
      <c r="L88" s="23"/>
      <c r="M88" s="4"/>
    </row>
    <row r="89" customFormat="false" ht="15" hidden="false" customHeight="false" outlineLevel="0" collapsed="false">
      <c r="A89" s="18" t="n">
        <v>85</v>
      </c>
      <c r="B89" s="16"/>
      <c r="C89" s="16"/>
      <c r="D89" s="16"/>
      <c r="E89" s="19" t="str">
        <f aca="false">IF(D89="","",IFERROR(INDEX(対象タスク!$B$5:$B$12,MATCH(D89,対象タスク!$A$5:$A$12,0)),"未定義"))</f>
        <v/>
      </c>
      <c r="F89" s="17"/>
      <c r="G89" s="20"/>
      <c r="H89" s="20"/>
      <c r="I89" s="21" t="str">
        <f aca="false">IF(G89="","",G89+N(H89))</f>
        <v/>
      </c>
      <c r="J89" s="22"/>
      <c r="K89" s="23"/>
      <c r="L89" s="23"/>
      <c r="M89" s="4"/>
    </row>
    <row r="90" customFormat="false" ht="15" hidden="false" customHeight="false" outlineLevel="0" collapsed="false">
      <c r="A90" s="18" t="n">
        <v>86</v>
      </c>
      <c r="B90" s="16"/>
      <c r="C90" s="16"/>
      <c r="D90" s="16"/>
      <c r="E90" s="19" t="str">
        <f aca="false">IF(D90="","",IFERROR(INDEX(対象タスク!$B$5:$B$12,MATCH(D90,対象タスク!$A$5:$A$12,0)),"未定義"))</f>
        <v/>
      </c>
      <c r="F90" s="17"/>
      <c r="G90" s="20"/>
      <c r="H90" s="20"/>
      <c r="I90" s="21" t="str">
        <f aca="false">IF(G90="","",G90+N(H90))</f>
        <v/>
      </c>
      <c r="J90" s="22"/>
      <c r="K90" s="23"/>
      <c r="L90" s="23"/>
      <c r="M90" s="4"/>
    </row>
    <row r="91" customFormat="false" ht="15" hidden="false" customHeight="false" outlineLevel="0" collapsed="false">
      <c r="A91" s="18" t="n">
        <v>87</v>
      </c>
      <c r="B91" s="16"/>
      <c r="C91" s="16"/>
      <c r="D91" s="16"/>
      <c r="E91" s="19" t="str">
        <f aca="false">IF(D91="","",IFERROR(INDEX(対象タスク!$B$5:$B$12,MATCH(D91,対象タスク!$A$5:$A$12,0)),"未定義"))</f>
        <v/>
      </c>
      <c r="F91" s="17"/>
      <c r="G91" s="20"/>
      <c r="H91" s="20"/>
      <c r="I91" s="21" t="str">
        <f aca="false">IF(G91="","",G91+N(H91))</f>
        <v/>
      </c>
      <c r="J91" s="22"/>
      <c r="K91" s="23"/>
      <c r="L91" s="23"/>
      <c r="M91" s="4"/>
    </row>
    <row r="92" customFormat="false" ht="15" hidden="false" customHeight="false" outlineLevel="0" collapsed="false">
      <c r="A92" s="18" t="n">
        <v>88</v>
      </c>
      <c r="B92" s="16"/>
      <c r="C92" s="16"/>
      <c r="D92" s="16"/>
      <c r="E92" s="19" t="str">
        <f aca="false">IF(D92="","",IFERROR(INDEX(対象タスク!$B$5:$B$12,MATCH(D92,対象タスク!$A$5:$A$12,0)),"未定義"))</f>
        <v/>
      </c>
      <c r="F92" s="17"/>
      <c r="G92" s="20"/>
      <c r="H92" s="20"/>
      <c r="I92" s="21" t="str">
        <f aca="false">IF(G92="","",G92+N(H92))</f>
        <v/>
      </c>
      <c r="J92" s="22"/>
      <c r="K92" s="23"/>
      <c r="L92" s="23"/>
      <c r="M92" s="4"/>
    </row>
    <row r="93" customFormat="false" ht="15" hidden="false" customHeight="false" outlineLevel="0" collapsed="false">
      <c r="A93" s="18" t="n">
        <v>89</v>
      </c>
      <c r="B93" s="16"/>
      <c r="C93" s="16"/>
      <c r="D93" s="16"/>
      <c r="E93" s="19" t="str">
        <f aca="false">IF(D93="","",IFERROR(INDEX(対象タスク!$B$5:$B$12,MATCH(D93,対象タスク!$A$5:$A$12,0)),"未定義"))</f>
        <v/>
      </c>
      <c r="F93" s="17"/>
      <c r="G93" s="20"/>
      <c r="H93" s="20"/>
      <c r="I93" s="21" t="str">
        <f aca="false">IF(G93="","",G93+N(H93))</f>
        <v/>
      </c>
      <c r="J93" s="22"/>
      <c r="K93" s="23"/>
      <c r="L93" s="23"/>
      <c r="M93" s="4"/>
    </row>
    <row r="94" customFormat="false" ht="15" hidden="false" customHeight="false" outlineLevel="0" collapsed="false">
      <c r="A94" s="18" t="n">
        <v>90</v>
      </c>
      <c r="B94" s="16"/>
      <c r="C94" s="16"/>
      <c r="D94" s="16"/>
      <c r="E94" s="19" t="str">
        <f aca="false">IF(D94="","",IFERROR(INDEX(対象タスク!$B$5:$B$12,MATCH(D94,対象タスク!$A$5:$A$12,0)),"未定義"))</f>
        <v/>
      </c>
      <c r="F94" s="17"/>
      <c r="G94" s="20"/>
      <c r="H94" s="20"/>
      <c r="I94" s="21" t="str">
        <f aca="false">IF(G94="","",G94+N(H94))</f>
        <v/>
      </c>
      <c r="J94" s="22"/>
      <c r="K94" s="23"/>
      <c r="L94" s="23"/>
      <c r="M94" s="4"/>
    </row>
    <row r="95" customFormat="false" ht="15" hidden="false" customHeight="false" outlineLevel="0" collapsed="false">
      <c r="A95" s="18" t="n">
        <v>91</v>
      </c>
      <c r="B95" s="16"/>
      <c r="C95" s="16"/>
      <c r="D95" s="16"/>
      <c r="E95" s="19" t="str">
        <f aca="false">IF(D95="","",IFERROR(INDEX(対象タスク!$B$5:$B$12,MATCH(D95,対象タスク!$A$5:$A$12,0)),"未定義"))</f>
        <v/>
      </c>
      <c r="F95" s="17"/>
      <c r="G95" s="20"/>
      <c r="H95" s="20"/>
      <c r="I95" s="21" t="str">
        <f aca="false">IF(G95="","",G95+N(H95))</f>
        <v/>
      </c>
      <c r="J95" s="22"/>
      <c r="K95" s="23"/>
      <c r="L95" s="23"/>
      <c r="M95" s="4"/>
    </row>
    <row r="96" customFormat="false" ht="15" hidden="false" customHeight="false" outlineLevel="0" collapsed="false">
      <c r="A96" s="18" t="n">
        <v>92</v>
      </c>
      <c r="B96" s="16"/>
      <c r="C96" s="16"/>
      <c r="D96" s="16"/>
      <c r="E96" s="19" t="str">
        <f aca="false">IF(D96="","",IFERROR(INDEX(対象タスク!$B$5:$B$12,MATCH(D96,対象タスク!$A$5:$A$12,0)),"未定義"))</f>
        <v/>
      </c>
      <c r="F96" s="17"/>
      <c r="G96" s="20"/>
      <c r="H96" s="20"/>
      <c r="I96" s="21" t="str">
        <f aca="false">IF(G96="","",G96+N(H96))</f>
        <v/>
      </c>
      <c r="J96" s="22"/>
      <c r="K96" s="23"/>
      <c r="L96" s="23"/>
      <c r="M96" s="4"/>
    </row>
    <row r="97" customFormat="false" ht="15" hidden="false" customHeight="false" outlineLevel="0" collapsed="false">
      <c r="A97" s="18" t="n">
        <v>93</v>
      </c>
      <c r="B97" s="16"/>
      <c r="C97" s="16"/>
      <c r="D97" s="16"/>
      <c r="E97" s="19" t="str">
        <f aca="false">IF(D97="","",IFERROR(INDEX(対象タスク!$B$5:$B$12,MATCH(D97,対象タスク!$A$5:$A$12,0)),"未定義"))</f>
        <v/>
      </c>
      <c r="F97" s="17"/>
      <c r="G97" s="20"/>
      <c r="H97" s="20"/>
      <c r="I97" s="21" t="str">
        <f aca="false">IF(G97="","",G97+N(H97))</f>
        <v/>
      </c>
      <c r="J97" s="22"/>
      <c r="K97" s="23"/>
      <c r="L97" s="23"/>
      <c r="M97" s="4"/>
    </row>
    <row r="98" customFormat="false" ht="15" hidden="false" customHeight="false" outlineLevel="0" collapsed="false">
      <c r="A98" s="18" t="n">
        <v>94</v>
      </c>
      <c r="B98" s="16"/>
      <c r="C98" s="16"/>
      <c r="D98" s="16"/>
      <c r="E98" s="19" t="str">
        <f aca="false">IF(D98="","",IFERROR(INDEX(対象タスク!$B$5:$B$12,MATCH(D98,対象タスク!$A$5:$A$12,0)),"未定義"))</f>
        <v/>
      </c>
      <c r="F98" s="17"/>
      <c r="G98" s="20"/>
      <c r="H98" s="20"/>
      <c r="I98" s="21" t="str">
        <f aca="false">IF(G98="","",G98+N(H98))</f>
        <v/>
      </c>
      <c r="J98" s="22"/>
      <c r="K98" s="23"/>
      <c r="L98" s="23"/>
      <c r="M98" s="4"/>
    </row>
    <row r="99" customFormat="false" ht="15" hidden="false" customHeight="false" outlineLevel="0" collapsed="false">
      <c r="A99" s="18" t="n">
        <v>95</v>
      </c>
      <c r="B99" s="16"/>
      <c r="C99" s="16"/>
      <c r="D99" s="16"/>
      <c r="E99" s="19" t="str">
        <f aca="false">IF(D99="","",IFERROR(INDEX(対象タスク!$B$5:$B$12,MATCH(D99,対象タスク!$A$5:$A$12,0)),"未定義"))</f>
        <v/>
      </c>
      <c r="F99" s="17"/>
      <c r="G99" s="20"/>
      <c r="H99" s="20"/>
      <c r="I99" s="21" t="str">
        <f aca="false">IF(G99="","",G99+N(H99))</f>
        <v/>
      </c>
      <c r="J99" s="22"/>
      <c r="K99" s="23"/>
      <c r="L99" s="23"/>
      <c r="M99" s="4"/>
    </row>
    <row r="100" customFormat="false" ht="15" hidden="false" customHeight="false" outlineLevel="0" collapsed="false">
      <c r="A100" s="18" t="n">
        <v>96</v>
      </c>
      <c r="B100" s="16"/>
      <c r="C100" s="16"/>
      <c r="D100" s="16"/>
      <c r="E100" s="19" t="str">
        <f aca="false">IF(D100="","",IFERROR(INDEX(対象タスク!$B$5:$B$12,MATCH(D100,対象タスク!$A$5:$A$12,0)),"未定義"))</f>
        <v/>
      </c>
      <c r="F100" s="17"/>
      <c r="G100" s="20"/>
      <c r="H100" s="20"/>
      <c r="I100" s="21" t="str">
        <f aca="false">IF(G100="","",G100+N(H100))</f>
        <v/>
      </c>
      <c r="J100" s="22"/>
      <c r="K100" s="23"/>
      <c r="L100" s="23"/>
      <c r="M100" s="4"/>
    </row>
    <row r="101" customFormat="false" ht="15" hidden="false" customHeight="false" outlineLevel="0" collapsed="false">
      <c r="A101" s="18" t="n">
        <v>97</v>
      </c>
      <c r="B101" s="16"/>
      <c r="C101" s="16"/>
      <c r="D101" s="16"/>
      <c r="E101" s="19" t="str">
        <f aca="false">IF(D101="","",IFERROR(INDEX(対象タスク!$B$5:$B$12,MATCH(D101,対象タスク!$A$5:$A$12,0)),"未定義"))</f>
        <v/>
      </c>
      <c r="F101" s="17"/>
      <c r="G101" s="20"/>
      <c r="H101" s="20"/>
      <c r="I101" s="21" t="str">
        <f aca="false">IF(G101="","",G101+N(H101))</f>
        <v/>
      </c>
      <c r="J101" s="22"/>
      <c r="K101" s="23"/>
      <c r="L101" s="23"/>
      <c r="M101" s="4"/>
    </row>
    <row r="102" customFormat="false" ht="15" hidden="false" customHeight="false" outlineLevel="0" collapsed="false">
      <c r="A102" s="18" t="n">
        <v>98</v>
      </c>
      <c r="B102" s="16"/>
      <c r="C102" s="16"/>
      <c r="D102" s="16"/>
      <c r="E102" s="19" t="str">
        <f aca="false">IF(D102="","",IFERROR(INDEX(対象タスク!$B$5:$B$12,MATCH(D102,対象タスク!$A$5:$A$12,0)),"未定義"))</f>
        <v/>
      </c>
      <c r="F102" s="17"/>
      <c r="G102" s="20"/>
      <c r="H102" s="20"/>
      <c r="I102" s="21" t="str">
        <f aca="false">IF(G102="","",G102+N(H102))</f>
        <v/>
      </c>
      <c r="J102" s="22"/>
      <c r="K102" s="23"/>
      <c r="L102" s="23"/>
      <c r="M102" s="4"/>
    </row>
    <row r="103" customFormat="false" ht="15" hidden="false" customHeight="false" outlineLevel="0" collapsed="false">
      <c r="A103" s="18" t="n">
        <v>99</v>
      </c>
      <c r="B103" s="16"/>
      <c r="C103" s="16"/>
      <c r="D103" s="16"/>
      <c r="E103" s="19" t="str">
        <f aca="false">IF(D103="","",IFERROR(INDEX(対象タスク!$B$5:$B$12,MATCH(D103,対象タスク!$A$5:$A$12,0)),"未定義"))</f>
        <v/>
      </c>
      <c r="F103" s="17"/>
      <c r="G103" s="20"/>
      <c r="H103" s="20"/>
      <c r="I103" s="21" t="str">
        <f aca="false">IF(G103="","",G103+N(H103))</f>
        <v/>
      </c>
      <c r="J103" s="22"/>
      <c r="K103" s="23"/>
      <c r="L103" s="23"/>
      <c r="M103" s="4"/>
    </row>
    <row r="104" customFormat="false" ht="15" hidden="false" customHeight="false" outlineLevel="0" collapsed="false">
      <c r="A104" s="18" t="n">
        <v>100</v>
      </c>
      <c r="B104" s="16"/>
      <c r="C104" s="16"/>
      <c r="D104" s="16"/>
      <c r="E104" s="19" t="str">
        <f aca="false">IF(D104="","",IFERROR(INDEX(対象タスク!$B$5:$B$12,MATCH(D104,対象タスク!$A$5:$A$12,0)),"未定義"))</f>
        <v/>
      </c>
      <c r="F104" s="17"/>
      <c r="G104" s="20"/>
      <c r="H104" s="20"/>
      <c r="I104" s="21" t="str">
        <f aca="false">IF(G104="","",G104+N(H104))</f>
        <v/>
      </c>
      <c r="J104" s="22"/>
      <c r="K104" s="23"/>
      <c r="L104" s="23"/>
      <c r="M104" s="4"/>
    </row>
  </sheetData>
  <dataValidations count="2">
    <dataValidation allowBlank="true" errorStyle="stop" operator="between" showDropDown="false" showErrorMessage="false" showInputMessage="false" sqref="D5:D104" type="list">
      <formula1>対象タスク!$A$5:$A$12</formula1>
      <formula2>0</formula2>
    </dataValidation>
    <dataValidation allowBlank="true" errorStyle="stop" operator="between" showDropDown="false" showErrorMessage="false" showInputMessage="false" sqref="F5:F104" type="list">
      <formula1>"あり,なし"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8"/>
    <col collapsed="false" customWidth="true" hidden="false" outlineLevel="0" max="6" min="5" style="0" width="13"/>
    <col collapsed="false" customWidth="true" hidden="false" outlineLevel="0" max="8" min="7" style="0" width="10"/>
    <col collapsed="false" customWidth="true" hidden="false" outlineLevel="0" max="10" min="9" style="0" width="11"/>
    <col collapsed="false" customWidth="true" hidden="false" outlineLevel="0" max="12" min="11" style="0" width="10"/>
    <col collapsed="false" customWidth="true" hidden="false" outlineLevel="0" max="13" min="13" style="0" width="9"/>
  </cols>
  <sheetData>
    <row r="1" customFormat="false" ht="23.85" hidden="false" customHeight="false" outlineLevel="0" collapsed="false">
      <c r="A1" s="12" t="s">
        <v>124</v>
      </c>
    </row>
    <row r="2" customFormat="false" ht="15" hidden="false" customHeight="false" outlineLevel="0" collapsed="false">
      <c r="A2" s="13" t="s">
        <v>125</v>
      </c>
    </row>
    <row r="4" customFormat="false" ht="31.5" hidden="false" customHeight="true" outlineLevel="0" collapsed="false">
      <c r="A4" s="14" t="s">
        <v>42</v>
      </c>
      <c r="B4" s="14" t="s">
        <v>43</v>
      </c>
      <c r="C4" s="14" t="s">
        <v>126</v>
      </c>
      <c r="D4" s="14" t="s">
        <v>127</v>
      </c>
      <c r="E4" s="14" t="s">
        <v>128</v>
      </c>
      <c r="F4" s="14" t="s">
        <v>129</v>
      </c>
      <c r="G4" s="14" t="s">
        <v>130</v>
      </c>
      <c r="H4" s="14" t="s">
        <v>131</v>
      </c>
      <c r="I4" s="14" t="s">
        <v>132</v>
      </c>
      <c r="J4" s="14" t="s">
        <v>133</v>
      </c>
      <c r="K4" s="14" t="s">
        <v>134</v>
      </c>
      <c r="L4" s="14" t="s">
        <v>135</v>
      </c>
      <c r="M4" s="14" t="s">
        <v>136</v>
      </c>
    </row>
    <row r="5" customFormat="false" ht="15" hidden="false" customHeight="false" outlineLevel="0" collapsed="false">
      <c r="A5" s="24" t="str">
        <f aca="false">対象タスク!A5</f>
        <v>T01</v>
      </c>
      <c r="B5" s="24" t="str">
        <f aca="false">対象タスク!B5</f>
        <v>新規実装</v>
      </c>
      <c r="C5" s="25" t="n">
        <f aca="false">COUNTIFS(計測記録!$D$5:$D$104,$A5,計測記録!$F$5:$F$104,"なし",計測記録!$G$5:$G$104,"&lt;&gt;")</f>
        <v>1</v>
      </c>
      <c r="D5" s="25" t="n">
        <f aca="false">COUNTIFS(計測記録!$D$5:$D$104,$A5,計測記録!$F$5:$F$104,"あり",計測記録!$G$5:$G$104,"&lt;&gt;")</f>
        <v>1</v>
      </c>
      <c r="E5" s="26" t="n">
        <f aca="false">IFERROR(AVERAGEIFS(計測記録!$I$5:$I$104,計測記録!$D$5:$D$104,$A5,計測記録!$F$5:$F$104,"なし"),0)</f>
        <v>6.5</v>
      </c>
      <c r="F5" s="26" t="n">
        <f aca="false">IFERROR(AVERAGEIFS(計測記録!$I$5:$I$104,計測記録!$D$5:$D$104,$A5,計測記録!$F$5:$F$104,"あり"),0)</f>
        <v>5</v>
      </c>
      <c r="G5" s="27" t="n">
        <f aca="false">IF(M5=1,E5-F5,"")</f>
        <v>1.5</v>
      </c>
      <c r="H5" s="28" t="n">
        <f aca="false">IF(AND(M5=1,E5&gt;0),G5/E5,"")</f>
        <v>0.230769230769231</v>
      </c>
      <c r="I5" s="26" t="n">
        <f aca="false">IFERROR(AVERAGEIFS(計測記録!$K$5:$K$104,計測記録!$D$5:$D$104,$A5,計測記録!$F$5:$F$104,"なし"),0)</f>
        <v>3</v>
      </c>
      <c r="J5" s="26" t="n">
        <f aca="false">IFERROR(AVERAGEIFS(計測記録!$K$5:$K$104,計測記録!$D$5:$D$104,$A5,計測記録!$F$5:$F$104,"あり"),0)</f>
        <v>3</v>
      </c>
      <c r="K5" s="25" t="n">
        <f aca="false">SUMIFS(計測記録!$L$5:$L$104,計測記録!$D$5:$D$104,$A5,計測記録!$F$5:$F$104,"なし")</f>
        <v>0</v>
      </c>
      <c r="L5" s="25" t="n">
        <f aca="false">SUMIFS(計測記録!$L$5:$L$104,計測記録!$D$5:$D$104,$A5,計測記録!$F$5:$F$104,"あり")</f>
        <v>0</v>
      </c>
      <c r="M5" s="25" t="n">
        <f aca="false">IF(AND(C5&gt;0,D5&gt;0),1,0)</f>
        <v>1</v>
      </c>
    </row>
    <row r="6" customFormat="false" ht="15" hidden="false" customHeight="false" outlineLevel="0" collapsed="false">
      <c r="A6" s="24" t="str">
        <f aca="false">対象タスク!A6</f>
        <v>T02</v>
      </c>
      <c r="B6" s="24" t="str">
        <f aca="false">対象タスク!B6</f>
        <v>SQL</v>
      </c>
      <c r="C6" s="25" t="n">
        <f aca="false">COUNTIFS(計測記録!$D$5:$D$104,$A6,計測記録!$F$5:$F$104,"なし",計測記録!$G$5:$G$104,"&lt;&gt;")</f>
        <v>2</v>
      </c>
      <c r="D6" s="25" t="n">
        <f aca="false">COUNTIFS(計測記録!$D$5:$D$104,$A6,計測記録!$F$5:$F$104,"あり",計測記録!$G$5:$G$104,"&lt;&gt;")</f>
        <v>2</v>
      </c>
      <c r="E6" s="26" t="n">
        <f aca="false">IFERROR(AVERAGEIFS(計測記録!$I$5:$I$104,計測記録!$D$5:$D$104,$A6,計測記録!$F$5:$F$104,"なし"),0)</f>
        <v>3</v>
      </c>
      <c r="F6" s="26" t="n">
        <f aca="false">IFERROR(AVERAGEIFS(計測記録!$I$5:$I$104,計測記録!$D$5:$D$104,$A6,計測記録!$F$5:$F$104,"あり"),0)</f>
        <v>1.95</v>
      </c>
      <c r="G6" s="27" t="n">
        <f aca="false">IF(M6=1,E6-F6,"")</f>
        <v>1.05</v>
      </c>
      <c r="H6" s="28" t="n">
        <f aca="false">IF(AND(M6=1,E6&gt;0),G6/E6,"")</f>
        <v>0.35</v>
      </c>
      <c r="I6" s="26" t="n">
        <f aca="false">IFERROR(AVERAGEIFS(計測記録!$K$5:$K$104,計測記録!$D$5:$D$104,$A6,計測記録!$F$5:$F$104,"なし"),0)</f>
        <v>1.5</v>
      </c>
      <c r="J6" s="26" t="n">
        <f aca="false">IFERROR(AVERAGEIFS(計測記録!$K$5:$K$104,計測記録!$D$5:$D$104,$A6,計測記録!$F$5:$F$104,"あり"),0)</f>
        <v>1.5</v>
      </c>
      <c r="K6" s="25" t="n">
        <f aca="false">SUMIFS(計測記録!$L$5:$L$104,計測記録!$D$5:$D$104,$A6,計測記録!$F$5:$F$104,"なし")</f>
        <v>0</v>
      </c>
      <c r="L6" s="25" t="n">
        <f aca="false">SUMIFS(計測記録!$L$5:$L$104,計測記録!$D$5:$D$104,$A6,計測記録!$F$5:$F$104,"あり")</f>
        <v>0</v>
      </c>
      <c r="M6" s="25" t="n">
        <f aca="false">IF(AND(C6&gt;0,D6&gt;0),1,0)</f>
        <v>1</v>
      </c>
    </row>
    <row r="7" customFormat="false" ht="15" hidden="false" customHeight="false" outlineLevel="0" collapsed="false">
      <c r="A7" s="24" t="str">
        <f aca="false">対象タスク!A7</f>
        <v>T03</v>
      </c>
      <c r="B7" s="24" t="str">
        <f aca="false">対象タスク!B7</f>
        <v>テスト</v>
      </c>
      <c r="C7" s="25" t="n">
        <f aca="false">COUNTIFS(計測記録!$D$5:$D$104,$A7,計測記録!$F$5:$F$104,"なし",計測記録!$G$5:$G$104,"&lt;&gt;")</f>
        <v>2</v>
      </c>
      <c r="D7" s="25" t="n">
        <f aca="false">COUNTIFS(計測記録!$D$5:$D$104,$A7,計測記録!$F$5:$F$104,"あり",計測記録!$G$5:$G$104,"&lt;&gt;")</f>
        <v>2</v>
      </c>
      <c r="E7" s="26" t="n">
        <f aca="false">IFERROR(AVERAGEIFS(計測記録!$I$5:$I$104,計測記録!$D$5:$D$104,$A7,計測記録!$F$5:$F$104,"なし"),0)</f>
        <v>5.2</v>
      </c>
      <c r="F7" s="26" t="n">
        <f aca="false">IFERROR(AVERAGEIFS(計測記録!$I$5:$I$104,計測記録!$D$5:$D$104,$A7,計測記録!$F$5:$F$104,"あり"),0)</f>
        <v>3.05</v>
      </c>
      <c r="G7" s="27" t="n">
        <f aca="false">IF(M7=1,E7-F7,"")</f>
        <v>2.15</v>
      </c>
      <c r="H7" s="28" t="n">
        <f aca="false">IF(AND(M7=1,E7&gt;0),G7/E7,"")</f>
        <v>0.413461538461539</v>
      </c>
      <c r="I7" s="26" t="n">
        <f aca="false">IFERROR(AVERAGEIFS(計測記録!$K$5:$K$104,計測記録!$D$5:$D$104,$A7,計測記録!$F$5:$F$104,"なし"),0)</f>
        <v>1.5</v>
      </c>
      <c r="J7" s="26" t="n">
        <f aca="false">IFERROR(AVERAGEIFS(計測記録!$K$5:$K$104,計測記録!$D$5:$D$104,$A7,計測記録!$F$5:$F$104,"あり"),0)</f>
        <v>1.5</v>
      </c>
      <c r="K7" s="25" t="n">
        <f aca="false">SUMIFS(計測記録!$L$5:$L$104,計測記録!$D$5:$D$104,$A7,計測記録!$F$5:$F$104,"なし")</f>
        <v>1</v>
      </c>
      <c r="L7" s="25" t="n">
        <f aca="false">SUMIFS(計測記録!$L$5:$L$104,計測記録!$D$5:$D$104,$A7,計測記録!$F$5:$F$104,"あり")</f>
        <v>0</v>
      </c>
      <c r="M7" s="25" t="n">
        <f aca="false">IF(AND(C7&gt;0,D7&gt;0),1,0)</f>
        <v>1</v>
      </c>
    </row>
    <row r="8" customFormat="false" ht="15" hidden="false" customHeight="false" outlineLevel="0" collapsed="false">
      <c r="A8" s="24" t="str">
        <f aca="false">対象タスク!A8</f>
        <v>T04</v>
      </c>
      <c r="B8" s="24" t="str">
        <f aca="false">対象タスク!B8</f>
        <v>解析</v>
      </c>
      <c r="C8" s="25" t="n">
        <f aca="false">COUNTIFS(計測記録!$D$5:$D$104,$A8,計測記録!$F$5:$F$104,"なし",計測記録!$G$5:$G$104,"&lt;&gt;")</f>
        <v>1</v>
      </c>
      <c r="D8" s="25" t="n">
        <f aca="false">COUNTIFS(計測記録!$D$5:$D$104,$A8,計測記録!$F$5:$F$104,"あり",計測記録!$G$5:$G$104,"&lt;&gt;")</f>
        <v>1</v>
      </c>
      <c r="E8" s="26" t="n">
        <f aca="false">IFERROR(AVERAGEIFS(計測記録!$I$5:$I$104,計測記録!$D$5:$D$104,$A8,計測記録!$F$5:$F$104,"なし"),0)</f>
        <v>4</v>
      </c>
      <c r="F8" s="26" t="n">
        <f aca="false">IFERROR(AVERAGEIFS(計測記録!$I$5:$I$104,計測記録!$D$5:$D$104,$A8,計測記録!$F$5:$F$104,"あり"),0)</f>
        <v>2.5</v>
      </c>
      <c r="G8" s="27" t="n">
        <f aca="false">IF(M8=1,E8-F8,"")</f>
        <v>1.5</v>
      </c>
      <c r="H8" s="28" t="n">
        <f aca="false">IF(AND(M8=1,E8&gt;0),G8/E8,"")</f>
        <v>0.375</v>
      </c>
      <c r="I8" s="26" t="n">
        <f aca="false">IFERROR(AVERAGEIFS(計測記録!$K$5:$K$104,計測記録!$D$5:$D$104,$A8,計測記録!$F$5:$F$104,"なし"),0)</f>
        <v>0</v>
      </c>
      <c r="J8" s="26" t="n">
        <f aca="false">IFERROR(AVERAGEIFS(計測記録!$K$5:$K$104,計測記録!$D$5:$D$104,$A8,計測記録!$F$5:$F$104,"あり"),0)</f>
        <v>0</v>
      </c>
      <c r="K8" s="25" t="n">
        <f aca="false">SUMIFS(計測記録!$L$5:$L$104,計測記録!$D$5:$D$104,$A8,計測記録!$F$5:$F$104,"なし")</f>
        <v>0</v>
      </c>
      <c r="L8" s="25" t="n">
        <f aca="false">SUMIFS(計測記録!$L$5:$L$104,計測記録!$D$5:$D$104,$A8,計測記録!$F$5:$F$104,"あり")</f>
        <v>0</v>
      </c>
      <c r="M8" s="25" t="n">
        <f aca="false">IF(AND(C8&gt;0,D8&gt;0),1,0)</f>
        <v>1</v>
      </c>
    </row>
    <row r="9" customFormat="false" ht="29.85" hidden="false" customHeight="false" outlineLevel="0" collapsed="false">
      <c r="A9" s="24" t="str">
        <f aca="false">対象タスク!A9</f>
        <v>T05</v>
      </c>
      <c r="B9" s="24" t="str">
        <f aca="false">対象タスク!B9</f>
        <v>リファクタリング</v>
      </c>
      <c r="C9" s="25" t="n">
        <f aca="false">COUNTIFS(計測記録!$D$5:$D$104,$A9,計測記録!$F$5:$F$104,"なし",計測記録!$G$5:$G$104,"&lt;&gt;")</f>
        <v>1</v>
      </c>
      <c r="D9" s="25" t="n">
        <f aca="false">COUNTIFS(計測記録!$D$5:$D$104,$A9,計測記録!$F$5:$F$104,"あり",計測記録!$G$5:$G$104,"&lt;&gt;")</f>
        <v>1</v>
      </c>
      <c r="E9" s="26" t="n">
        <f aca="false">IFERROR(AVERAGEIFS(計測記録!$I$5:$I$104,計測記録!$D$5:$D$104,$A9,計測記録!$F$5:$F$104,"なし"),0)</f>
        <v>5.5</v>
      </c>
      <c r="F9" s="26" t="n">
        <f aca="false">IFERROR(AVERAGEIFS(計測記録!$I$5:$I$104,計測記録!$D$5:$D$104,$A9,計測記録!$F$5:$F$104,"あり"),0)</f>
        <v>4.8</v>
      </c>
      <c r="G9" s="27" t="n">
        <f aca="false">IF(M9=1,E9-F9,"")</f>
        <v>0.7</v>
      </c>
      <c r="H9" s="28" t="n">
        <f aca="false">IF(AND(M9=1,E9&gt;0),G9/E9,"")</f>
        <v>0.127272727272727</v>
      </c>
      <c r="I9" s="26" t="n">
        <f aca="false">IFERROR(AVERAGEIFS(計測記録!$K$5:$K$104,計測記録!$D$5:$D$104,$A9,計測記録!$F$5:$F$104,"なし"),0)</f>
        <v>2</v>
      </c>
      <c r="J9" s="26" t="n">
        <f aca="false">IFERROR(AVERAGEIFS(計測記録!$K$5:$K$104,計測記録!$D$5:$D$104,$A9,計測記録!$F$5:$F$104,"あり"),0)</f>
        <v>3</v>
      </c>
      <c r="K9" s="25" t="n">
        <f aca="false">SUMIFS(計測記録!$L$5:$L$104,計測記録!$D$5:$D$104,$A9,計測記録!$F$5:$F$104,"なし")</f>
        <v>0</v>
      </c>
      <c r="L9" s="25" t="n">
        <f aca="false">SUMIFS(計測記録!$L$5:$L$104,計測記録!$D$5:$D$104,$A9,計測記録!$F$5:$F$104,"あり")</f>
        <v>1</v>
      </c>
      <c r="M9" s="25" t="n">
        <f aca="false">IF(AND(C9&gt;0,D9&gt;0),1,0)</f>
        <v>1</v>
      </c>
    </row>
    <row r="10" customFormat="false" ht="15" hidden="false" customHeight="false" outlineLevel="0" collapsed="false">
      <c r="A10" s="24" t="str">
        <f aca="false">対象タスク!A10</f>
        <v>T06</v>
      </c>
      <c r="B10" s="24" t="str">
        <f aca="false">対象タスク!B10</f>
        <v>シェル</v>
      </c>
      <c r="C10" s="25" t="n">
        <f aca="false">COUNTIFS(計測記録!$D$5:$D$104,$A10,計測記録!$F$5:$F$104,"なし",計測記録!$G$5:$G$104,"&lt;&gt;")</f>
        <v>1</v>
      </c>
      <c r="D10" s="25" t="n">
        <f aca="false">COUNTIFS(計測記録!$D$5:$D$104,$A10,計測記録!$F$5:$F$104,"あり",計測記録!$G$5:$G$104,"&lt;&gt;")</f>
        <v>1</v>
      </c>
      <c r="E10" s="26" t="n">
        <f aca="false">IFERROR(AVERAGEIFS(計測記録!$I$5:$I$104,計測記録!$D$5:$D$104,$A10,計測記録!$F$5:$F$104,"なし"),0)</f>
        <v>2.2</v>
      </c>
      <c r="F10" s="26" t="n">
        <f aca="false">IFERROR(AVERAGEIFS(計測記録!$I$5:$I$104,計測記録!$D$5:$D$104,$A10,計測記録!$F$5:$F$104,"あり"),0)</f>
        <v>1.4</v>
      </c>
      <c r="G10" s="27" t="n">
        <f aca="false">IF(M10=1,E10-F10,"")</f>
        <v>0.8</v>
      </c>
      <c r="H10" s="28" t="n">
        <f aca="false">IF(AND(M10=1,E10&gt;0),G10/E10,"")</f>
        <v>0.363636363636364</v>
      </c>
      <c r="I10" s="26" t="n">
        <f aca="false">IFERROR(AVERAGEIFS(計測記録!$K$5:$K$104,計測記録!$D$5:$D$104,$A10,計測記録!$F$5:$F$104,"なし"),0)</f>
        <v>1</v>
      </c>
      <c r="J10" s="26" t="n">
        <f aca="false">IFERROR(AVERAGEIFS(計測記録!$K$5:$K$104,計測記録!$D$5:$D$104,$A10,計測記録!$F$5:$F$104,"あり"),0)</f>
        <v>1</v>
      </c>
      <c r="K10" s="25" t="n">
        <f aca="false">SUMIFS(計測記録!$L$5:$L$104,計測記録!$D$5:$D$104,$A10,計測記録!$F$5:$F$104,"なし")</f>
        <v>0</v>
      </c>
      <c r="L10" s="25" t="n">
        <f aca="false">SUMIFS(計測記録!$L$5:$L$104,計測記録!$D$5:$D$104,$A10,計測記録!$F$5:$F$104,"あり")</f>
        <v>0</v>
      </c>
      <c r="M10" s="25" t="n">
        <f aca="false">IF(AND(C10&gt;0,D10&gt;0),1,0)</f>
        <v>1</v>
      </c>
    </row>
    <row r="11" customFormat="false" ht="15" hidden="false" customHeight="false" outlineLevel="0" collapsed="false">
      <c r="A11" s="24" t="str">
        <f aca="false">対象タスク!A11</f>
        <v>T07</v>
      </c>
      <c r="B11" s="24" t="str">
        <f aca="false">対象タスク!B11</f>
        <v>障害調査</v>
      </c>
      <c r="C11" s="25" t="n">
        <f aca="false">COUNTIFS(計測記録!$D$5:$D$104,$A11,計測記録!$F$5:$F$104,"なし",計測記録!$G$5:$G$104,"&lt;&gt;")</f>
        <v>1</v>
      </c>
      <c r="D11" s="25" t="n">
        <f aca="false">COUNTIFS(計測記録!$D$5:$D$104,$A11,計測記録!$F$5:$F$104,"あり",計測記録!$G$5:$G$104,"&lt;&gt;")</f>
        <v>1</v>
      </c>
      <c r="E11" s="26" t="n">
        <f aca="false">IFERROR(AVERAGEIFS(計測記録!$I$5:$I$104,計測記録!$D$5:$D$104,$A11,計測記録!$F$5:$F$104,"なし"),0)</f>
        <v>3</v>
      </c>
      <c r="F11" s="26" t="n">
        <f aca="false">IFERROR(AVERAGEIFS(計測記録!$I$5:$I$104,計測記録!$D$5:$D$104,$A11,計測記録!$F$5:$F$104,"あり"),0)</f>
        <v>3.2</v>
      </c>
      <c r="G11" s="27" t="n">
        <f aca="false">IF(M11=1,E11-F11,"")</f>
        <v>-0.2</v>
      </c>
      <c r="H11" s="28" t="n">
        <f aca="false">IF(AND(M11=1,E11&gt;0),G11/E11,"")</f>
        <v>-0.0666666666666667</v>
      </c>
      <c r="I11" s="26" t="n">
        <f aca="false">IFERROR(AVERAGEIFS(計測記録!$K$5:$K$104,計測記録!$D$5:$D$104,$A11,計測記録!$F$5:$F$104,"なし"),0)</f>
        <v>0</v>
      </c>
      <c r="J11" s="26" t="n">
        <f aca="false">IFERROR(AVERAGEIFS(計測記録!$K$5:$K$104,計測記録!$D$5:$D$104,$A11,計測記録!$F$5:$F$104,"あり"),0)</f>
        <v>0</v>
      </c>
      <c r="K11" s="25" t="n">
        <f aca="false">SUMIFS(計測記録!$L$5:$L$104,計測記録!$D$5:$D$104,$A11,計測記録!$F$5:$F$104,"なし")</f>
        <v>0</v>
      </c>
      <c r="L11" s="25" t="n">
        <f aca="false">SUMIFS(計測記録!$L$5:$L$104,計測記録!$D$5:$D$104,$A11,計測記録!$F$5:$F$104,"あり")</f>
        <v>0</v>
      </c>
      <c r="M11" s="25" t="n">
        <f aca="false">IF(AND(C11&gt;0,D11&gt;0),1,0)</f>
        <v>1</v>
      </c>
    </row>
    <row r="12" customFormat="false" ht="15" hidden="false" customHeight="false" outlineLevel="0" collapsed="false">
      <c r="A12" s="24" t="str">
        <f aca="false">対象タスク!A12</f>
        <v>T08</v>
      </c>
      <c r="B12" s="24" t="str">
        <f aca="false">対象タスク!B12</f>
        <v>ドキュメント</v>
      </c>
      <c r="C12" s="25" t="n">
        <f aca="false">COUNTIFS(計測記録!$D$5:$D$104,$A12,計測記録!$F$5:$F$104,"なし",計測記録!$G$5:$G$104,"&lt;&gt;")</f>
        <v>1</v>
      </c>
      <c r="D12" s="25" t="n">
        <f aca="false">COUNTIFS(計測記録!$D$5:$D$104,$A12,計測記録!$F$5:$F$104,"あり",計測記録!$G$5:$G$104,"&lt;&gt;")</f>
        <v>1</v>
      </c>
      <c r="E12" s="26" t="n">
        <f aca="false">IFERROR(AVERAGEIFS(計測記録!$I$5:$I$104,計測記録!$D$5:$D$104,$A12,計測記録!$F$5:$F$104,"なし"),0)</f>
        <v>4</v>
      </c>
      <c r="F12" s="26" t="n">
        <f aca="false">IFERROR(AVERAGEIFS(計測記録!$I$5:$I$104,計測記録!$D$5:$D$104,$A12,計測記録!$F$5:$F$104,"あり"),0)</f>
        <v>3</v>
      </c>
      <c r="G12" s="27" t="n">
        <f aca="false">IF(M12=1,E12-F12,"")</f>
        <v>1</v>
      </c>
      <c r="H12" s="28" t="n">
        <f aca="false">IF(AND(M12=1,E12&gt;0),G12/E12,"")</f>
        <v>0.25</v>
      </c>
      <c r="I12" s="26" t="n">
        <f aca="false">IFERROR(AVERAGEIFS(計測記録!$K$5:$K$104,計測記録!$D$5:$D$104,$A12,計測記録!$F$5:$F$104,"なし"),0)</f>
        <v>1</v>
      </c>
      <c r="J12" s="26" t="n">
        <f aca="false">IFERROR(AVERAGEIFS(計測記録!$K$5:$K$104,計測記録!$D$5:$D$104,$A12,計測記録!$F$5:$F$104,"あり"),0)</f>
        <v>1</v>
      </c>
      <c r="K12" s="25" t="n">
        <f aca="false">SUMIFS(計測記録!$L$5:$L$104,計測記録!$D$5:$D$104,$A12,計測記録!$F$5:$F$104,"なし")</f>
        <v>0</v>
      </c>
      <c r="L12" s="25" t="n">
        <f aca="false">SUMIFS(計測記録!$L$5:$L$104,計測記録!$D$5:$D$104,$A12,計測記録!$F$5:$F$104,"あり")</f>
        <v>0</v>
      </c>
      <c r="M12" s="25" t="n">
        <f aca="false">IF(AND(C12&gt;0,D12&gt;0),1,0)</f>
        <v>1</v>
      </c>
    </row>
    <row r="13" customFormat="false" ht="15" hidden="false" customHeight="false" outlineLevel="0" collapsed="false">
      <c r="A13" s="29" t="s">
        <v>137</v>
      </c>
      <c r="B13" s="29"/>
      <c r="C13" s="30" t="n">
        <f aca="false">SUM(C5:C12)</f>
        <v>10</v>
      </c>
      <c r="D13" s="30" t="n">
        <f aca="false">SUM(D5:D12)</f>
        <v>10</v>
      </c>
      <c r="E13" s="31" t="n">
        <f aca="false">SUMIFS(E5:E12,M5:M12,1)</f>
        <v>33.4</v>
      </c>
      <c r="F13" s="31" t="n">
        <f aca="false">SUMIFS(F5:F12,M5:M12,1)</f>
        <v>24.9</v>
      </c>
      <c r="G13" s="32" t="n">
        <f aca="false">E13-F13</f>
        <v>8.5</v>
      </c>
      <c r="H13" s="33" t="n">
        <f aca="false">IF(E13&gt;0,G13/E13,"")</f>
        <v>0.254491017964072</v>
      </c>
      <c r="I13" s="34" t="n">
        <f aca="false">IFERROR(AVERAGEIFS(計測記録!$K$5:$K$104,計測記録!$F$5:$F$104,"なし"),0)</f>
        <v>1.3</v>
      </c>
      <c r="J13" s="34" t="n">
        <f aca="false">IFERROR(AVERAGEIFS(計測記録!$K$5:$K$104,計測記録!$F$5:$F$104,"あり"),0)</f>
        <v>1.4</v>
      </c>
      <c r="K13" s="30" t="n">
        <f aca="false">SUM(K5:K12)</f>
        <v>1</v>
      </c>
      <c r="L13" s="30" t="n">
        <f aca="false">SUM(L5:L12)</f>
        <v>1</v>
      </c>
      <c r="M13" s="30" t="n">
        <f aca="false">SUM(M5:M12)</f>
        <v>8</v>
      </c>
    </row>
    <row r="15" customFormat="false" ht="15" hidden="false" customHeight="false" outlineLevel="0" collapsed="false">
      <c r="A15" s="35" t="s">
        <v>138</v>
      </c>
      <c r="E15" s="36" t="n">
        <f aca="false">IFERROR(AVERAGEIFS(計測記録!$J$5:$J$104,計測記録!$F$5:$F$104,"あり"),0)</f>
        <v>0.38</v>
      </c>
    </row>
    <row r="16" customFormat="false" ht="15" hidden="false" customHeight="false" outlineLevel="0" collapsed="false">
      <c r="A16" s="13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9" min="3" style="0" width="9"/>
  </cols>
  <sheetData>
    <row r="1" customFormat="false" ht="19.7" hidden="false" customHeight="false" outlineLevel="0" collapsed="false">
      <c r="A1" s="12" t="s">
        <v>140</v>
      </c>
    </row>
    <row r="2" customFormat="false" ht="15" hidden="false" customHeight="false" outlineLevel="0" collapsed="false">
      <c r="A2" s="37" t="s">
        <v>141</v>
      </c>
    </row>
    <row r="4" customFormat="false" ht="31.5" hidden="false" customHeight="true" outlineLevel="0" collapsed="false">
      <c r="A4" s="15" t="s">
        <v>92</v>
      </c>
      <c r="B4" s="14" t="s">
        <v>142</v>
      </c>
      <c r="C4" s="14" t="s">
        <v>143</v>
      </c>
      <c r="D4" s="14" t="s">
        <v>144</v>
      </c>
      <c r="E4" s="14" t="s">
        <v>145</v>
      </c>
      <c r="F4" s="14" t="s">
        <v>146</v>
      </c>
      <c r="G4" s="14" t="s">
        <v>147</v>
      </c>
      <c r="H4" s="14" t="s">
        <v>148</v>
      </c>
      <c r="I4" s="14" t="s">
        <v>149</v>
      </c>
    </row>
    <row r="5" customFormat="false" ht="15" hidden="false" customHeight="false" outlineLevel="0" collapsed="false">
      <c r="A5" s="18" t="n">
        <v>1</v>
      </c>
      <c r="B5" s="6" t="s">
        <v>150</v>
      </c>
      <c r="C5" s="18"/>
      <c r="D5" s="23" t="n">
        <v>5</v>
      </c>
      <c r="E5" s="23" t="n">
        <v>5</v>
      </c>
      <c r="F5" s="23" t="n">
        <v>4</v>
      </c>
      <c r="G5" s="23"/>
      <c r="H5" s="23"/>
      <c r="I5" s="38" t="n">
        <f aca="false">IFERROR(AVERAGE(D5:H5),"")</f>
        <v>4.66666666666667</v>
      </c>
    </row>
    <row r="6" customFormat="false" ht="15" hidden="false" customHeight="false" outlineLevel="0" collapsed="false">
      <c r="A6" s="18" t="n">
        <v>2</v>
      </c>
      <c r="B6" s="6" t="s">
        <v>151</v>
      </c>
      <c r="C6" s="18"/>
      <c r="D6" s="23" t="n">
        <v>5</v>
      </c>
      <c r="E6" s="23" t="n">
        <v>4</v>
      </c>
      <c r="F6" s="23" t="n">
        <v>5</v>
      </c>
      <c r="G6" s="23"/>
      <c r="H6" s="23"/>
      <c r="I6" s="38" t="n">
        <f aca="false">IFERROR(AVERAGE(D6:H6),"")</f>
        <v>4.66666666666667</v>
      </c>
    </row>
    <row r="7" customFormat="false" ht="15" hidden="false" customHeight="false" outlineLevel="0" collapsed="false">
      <c r="A7" s="18" t="n">
        <v>3</v>
      </c>
      <c r="B7" s="6" t="s">
        <v>152</v>
      </c>
      <c r="C7" s="18"/>
      <c r="D7" s="23" t="n">
        <v>4</v>
      </c>
      <c r="E7" s="23" t="n">
        <v>4</v>
      </c>
      <c r="F7" s="23" t="n">
        <v>4</v>
      </c>
      <c r="G7" s="23"/>
      <c r="H7" s="23"/>
      <c r="I7" s="38" t="n">
        <f aca="false">IFERROR(AVERAGE(D7:H7),"")</f>
        <v>4</v>
      </c>
    </row>
    <row r="8" customFormat="false" ht="15" hidden="false" customHeight="false" outlineLevel="0" collapsed="false">
      <c r="A8" s="18" t="n">
        <v>4</v>
      </c>
      <c r="B8" s="6" t="s">
        <v>153</v>
      </c>
      <c r="C8" s="18"/>
      <c r="D8" s="23" t="n">
        <v>3</v>
      </c>
      <c r="E8" s="23" t="n">
        <v>3</v>
      </c>
      <c r="F8" s="23" t="n">
        <v>4</v>
      </c>
      <c r="G8" s="23"/>
      <c r="H8" s="23"/>
      <c r="I8" s="38" t="n">
        <f aca="false">IFERROR(AVERAGE(D8:H8),"")</f>
        <v>3.33333333333333</v>
      </c>
    </row>
    <row r="9" customFormat="false" ht="15" hidden="false" customHeight="false" outlineLevel="0" collapsed="false">
      <c r="A9" s="18" t="n">
        <v>5</v>
      </c>
      <c r="B9" s="6" t="s">
        <v>154</v>
      </c>
      <c r="C9" s="18" t="s">
        <v>155</v>
      </c>
      <c r="D9" s="23" t="n">
        <v>3</v>
      </c>
      <c r="E9" s="23" t="n">
        <v>2</v>
      </c>
      <c r="F9" s="23" t="n">
        <v>3</v>
      </c>
      <c r="G9" s="23"/>
      <c r="H9" s="23"/>
      <c r="I9" s="38" t="n">
        <f aca="false">IFERROR(AVERAGE(D9:H9),"")</f>
        <v>2.66666666666667</v>
      </c>
    </row>
    <row r="10" customFormat="false" ht="15" hidden="false" customHeight="false" outlineLevel="0" collapsed="false">
      <c r="A10" s="18" t="n">
        <v>6</v>
      </c>
      <c r="B10" s="6" t="s">
        <v>156</v>
      </c>
      <c r="C10" s="18"/>
      <c r="D10" s="23" t="n">
        <v>4</v>
      </c>
      <c r="E10" s="23" t="n">
        <v>3</v>
      </c>
      <c r="F10" s="23" t="n">
        <v>4</v>
      </c>
      <c r="G10" s="23"/>
      <c r="H10" s="23"/>
      <c r="I10" s="38" t="n">
        <f aca="false">IFERROR(AVERAGE(D10:H10),"")</f>
        <v>3.66666666666667</v>
      </c>
    </row>
    <row r="11" customFormat="false" ht="15" hidden="false" customHeight="false" outlineLevel="0" collapsed="false">
      <c r="A11" s="18" t="n">
        <v>7</v>
      </c>
      <c r="B11" s="6" t="s">
        <v>157</v>
      </c>
      <c r="C11" s="18"/>
      <c r="D11" s="23" t="n">
        <v>5</v>
      </c>
      <c r="E11" s="23" t="n">
        <v>4</v>
      </c>
      <c r="F11" s="23" t="n">
        <v>5</v>
      </c>
      <c r="G11" s="23"/>
      <c r="H11" s="23"/>
      <c r="I11" s="38" t="n">
        <f aca="false">IFERROR(AVERAGE(D11:H11),"")</f>
        <v>4.66666666666667</v>
      </c>
    </row>
    <row r="12" customFormat="false" ht="15" hidden="false" customHeight="false" outlineLevel="0" collapsed="false">
      <c r="A12" s="18" t="n">
        <v>8</v>
      </c>
      <c r="B12" s="6" t="s">
        <v>158</v>
      </c>
      <c r="C12" s="18"/>
      <c r="D12" s="23" t="n">
        <v>4</v>
      </c>
      <c r="E12" s="23" t="n">
        <v>4</v>
      </c>
      <c r="F12" s="23" t="n">
        <v>5</v>
      </c>
      <c r="G12" s="23"/>
      <c r="H12" s="23"/>
      <c r="I12" s="38" t="n">
        <f aca="false">IFERROR(AVERAGE(D12:H12),"")</f>
        <v>4.33333333333333</v>
      </c>
    </row>
    <row r="14" customFormat="false" ht="15" hidden="false" customHeight="false" outlineLevel="0" collapsed="false">
      <c r="A14" s="7" t="s">
        <v>159</v>
      </c>
    </row>
    <row r="15" customFormat="false" ht="29.85" hidden="false" customHeight="false" outlineLevel="0" collapsed="false">
      <c r="A15" s="14" t="s">
        <v>160</v>
      </c>
      <c r="B15" s="14" t="s">
        <v>161</v>
      </c>
    </row>
    <row r="16" customFormat="false" ht="30" hidden="false" customHeight="true" outlineLevel="0" collapsed="false">
      <c r="A16" s="17" t="s">
        <v>162</v>
      </c>
      <c r="B16" s="4" t="s">
        <v>163</v>
      </c>
      <c r="C16" s="4"/>
      <c r="D16" s="4"/>
      <c r="E16" s="4"/>
      <c r="F16" s="4"/>
      <c r="G16" s="4"/>
      <c r="H16" s="4"/>
      <c r="I16" s="4"/>
    </row>
    <row r="17" customFormat="false" ht="30" hidden="false" customHeight="true" outlineLevel="0" collapsed="false">
      <c r="A17" s="17" t="s">
        <v>164</v>
      </c>
      <c r="B17" s="5" t="s">
        <v>165</v>
      </c>
      <c r="C17" s="5"/>
      <c r="D17" s="5"/>
      <c r="E17" s="5"/>
      <c r="F17" s="5"/>
      <c r="G17" s="5"/>
      <c r="H17" s="5"/>
      <c r="I17" s="5"/>
    </row>
    <row r="18" customFormat="false" ht="30" hidden="false" customHeight="true" outlineLevel="0" collapsed="false">
      <c r="A18" s="17" t="s">
        <v>166</v>
      </c>
      <c r="B18" s="5" t="s">
        <v>167</v>
      </c>
      <c r="C18" s="5"/>
      <c r="D18" s="5"/>
      <c r="E18" s="5"/>
      <c r="F18" s="5"/>
      <c r="G18" s="5"/>
      <c r="H18" s="5"/>
      <c r="I18" s="5"/>
    </row>
  </sheetData>
  <mergeCells count="3">
    <mergeCell ref="B16:I16"/>
    <mergeCell ref="B17:I17"/>
    <mergeCell ref="B18:I18"/>
  </mergeCells>
  <dataValidations count="1">
    <dataValidation allowBlank="true" errorStyle="stop" operator="between" showDropDown="false" showErrorMessage="false" showInputMessage="false" sqref="D5:H12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12" t="s">
        <v>168</v>
      </c>
    </row>
    <row r="2" customFormat="false" ht="15" hidden="false" customHeight="false" outlineLevel="0" collapsed="false">
      <c r="A2" s="13" t="s">
        <v>169</v>
      </c>
    </row>
    <row r="4" customFormat="false" ht="31.5" hidden="false" customHeight="true" outlineLevel="0" collapsed="false">
      <c r="A4" s="14" t="s">
        <v>170</v>
      </c>
      <c r="B4" s="14" t="s">
        <v>171</v>
      </c>
      <c r="C4" s="14" t="s">
        <v>172</v>
      </c>
      <c r="D4" s="14" t="s">
        <v>173</v>
      </c>
    </row>
    <row r="5" customFormat="false" ht="15" hidden="false" customHeight="false" outlineLevel="0" collapsed="false">
      <c r="A5" s="8" t="s">
        <v>174</v>
      </c>
      <c r="B5" s="39" t="n">
        <v>20</v>
      </c>
      <c r="C5" s="40" t="s">
        <v>175</v>
      </c>
      <c r="D5" s="6" t="s">
        <v>176</v>
      </c>
    </row>
    <row r="6" customFormat="false" ht="15" hidden="false" customHeight="false" outlineLevel="0" collapsed="false">
      <c r="A6" s="41" t="s">
        <v>177</v>
      </c>
      <c r="B6" s="39" t="n">
        <v>100</v>
      </c>
      <c r="C6" s="18" t="s">
        <v>178</v>
      </c>
      <c r="D6" s="6" t="s">
        <v>179</v>
      </c>
    </row>
    <row r="7" customFormat="false" ht="15" hidden="false" customHeight="false" outlineLevel="0" collapsed="false">
      <c r="A7" s="41" t="s">
        <v>180</v>
      </c>
      <c r="B7" s="42" t="n">
        <v>0.5</v>
      </c>
      <c r="C7" s="18"/>
      <c r="D7" s="6" t="s">
        <v>181</v>
      </c>
    </row>
    <row r="8" customFormat="false" ht="15" hidden="false" customHeight="false" outlineLevel="0" collapsed="false">
      <c r="A8" s="8" t="s">
        <v>182</v>
      </c>
      <c r="B8" s="43" t="n">
        <f aca="false">集計!H13</f>
        <v>0.254491017964072</v>
      </c>
      <c r="C8" s="18"/>
      <c r="D8" s="6" t="s">
        <v>183</v>
      </c>
    </row>
    <row r="9" customFormat="false" ht="29.85" hidden="false" customHeight="false" outlineLevel="0" collapsed="false">
      <c r="A9" s="8" t="s">
        <v>184</v>
      </c>
      <c r="B9" s="44" t="n">
        <v>0.5</v>
      </c>
      <c r="C9" s="18"/>
      <c r="D9" s="6" t="s">
        <v>185</v>
      </c>
    </row>
    <row r="10" customFormat="false" ht="15" hidden="false" customHeight="false" outlineLevel="0" collapsed="false">
      <c r="A10" s="8" t="s">
        <v>186</v>
      </c>
      <c r="B10" s="45" t="n">
        <v>8000</v>
      </c>
      <c r="C10" s="40" t="s">
        <v>187</v>
      </c>
      <c r="D10" s="6" t="s">
        <v>188</v>
      </c>
    </row>
    <row r="11" customFormat="false" ht="15" hidden="false" customHeight="false" outlineLevel="0" collapsed="false">
      <c r="A11" s="8" t="s">
        <v>189</v>
      </c>
      <c r="B11" s="45" t="n">
        <v>19</v>
      </c>
      <c r="C11" s="18" t="s">
        <v>190</v>
      </c>
      <c r="D11" s="3" t="s">
        <v>191</v>
      </c>
    </row>
    <row r="12" customFormat="false" ht="15" hidden="false" customHeight="false" outlineLevel="0" collapsed="false">
      <c r="A12" s="8" t="s">
        <v>192</v>
      </c>
      <c r="B12" s="45" t="n">
        <v>150</v>
      </c>
      <c r="C12" s="40" t="s">
        <v>193</v>
      </c>
      <c r="D12" s="6" t="s">
        <v>194</v>
      </c>
    </row>
    <row r="13" customFormat="false" ht="15" hidden="false" customHeight="false" outlineLevel="0" collapsed="false">
      <c r="A13" s="8" t="s">
        <v>195</v>
      </c>
      <c r="B13" s="45" t="n">
        <v>1000000</v>
      </c>
      <c r="C13" s="40" t="s">
        <v>196</v>
      </c>
      <c r="D13" s="6" t="s">
        <v>197</v>
      </c>
    </row>
    <row r="15" customFormat="false" ht="15" hidden="false" customHeight="false" outlineLevel="0" collapsed="false">
      <c r="A15" s="7" t="s">
        <v>198</v>
      </c>
    </row>
    <row r="16" customFormat="false" ht="31.5" hidden="false" customHeight="true" outlineLevel="0" collapsed="false">
      <c r="A16" s="14" t="s">
        <v>170</v>
      </c>
      <c r="B16" s="14" t="s">
        <v>171</v>
      </c>
      <c r="C16" s="14" t="s">
        <v>172</v>
      </c>
      <c r="D16" s="14" t="s">
        <v>33</v>
      </c>
    </row>
    <row r="17" customFormat="false" ht="15" hidden="false" customHeight="false" outlineLevel="0" collapsed="false">
      <c r="A17" s="2" t="s">
        <v>199</v>
      </c>
      <c r="B17" s="46" t="n">
        <f aca="false">B5*B6*B7*B8*B9</f>
        <v>127.245508982036</v>
      </c>
      <c r="C17" s="18" t="s">
        <v>178</v>
      </c>
      <c r="D17" s="6" t="s">
        <v>200</v>
      </c>
    </row>
    <row r="18" customFormat="false" ht="15" hidden="false" customHeight="false" outlineLevel="0" collapsed="false">
      <c r="A18" s="2" t="s">
        <v>201</v>
      </c>
      <c r="B18" s="47" t="n">
        <f aca="false">B17*B10</f>
        <v>1017964.07185629</v>
      </c>
      <c r="C18" s="40" t="s">
        <v>202</v>
      </c>
      <c r="D18" s="6" t="s">
        <v>203</v>
      </c>
    </row>
    <row r="19" customFormat="false" ht="15" hidden="false" customHeight="false" outlineLevel="0" collapsed="false">
      <c r="A19" s="2" t="s">
        <v>204</v>
      </c>
      <c r="B19" s="47" t="n">
        <f aca="false">B5*B11*B12</f>
        <v>57000</v>
      </c>
      <c r="C19" s="40" t="s">
        <v>202</v>
      </c>
      <c r="D19" s="6" t="s">
        <v>205</v>
      </c>
    </row>
    <row r="20" customFormat="false" ht="15" hidden="false" customHeight="false" outlineLevel="0" collapsed="false">
      <c r="A20" s="2" t="s">
        <v>206</v>
      </c>
      <c r="B20" s="48" t="n">
        <f aca="false">B18-B19</f>
        <v>960964.071856287</v>
      </c>
      <c r="C20" s="40" t="s">
        <v>202</v>
      </c>
      <c r="D20" s="6" t="s">
        <v>207</v>
      </c>
    </row>
    <row r="21" customFormat="false" ht="15" hidden="false" customHeight="false" outlineLevel="0" collapsed="false">
      <c r="A21" s="2" t="s">
        <v>208</v>
      </c>
      <c r="B21" s="48" t="n">
        <f aca="false">B20*12-B13</f>
        <v>10531568.8622755</v>
      </c>
      <c r="C21" s="40" t="s">
        <v>209</v>
      </c>
      <c r="D21" s="6" t="s">
        <v>210</v>
      </c>
    </row>
    <row r="22" customFormat="false" ht="15" hidden="false" customHeight="false" outlineLevel="0" collapsed="false">
      <c r="A22" s="2" t="s">
        <v>211</v>
      </c>
      <c r="B22" s="49" t="n">
        <f aca="false">IF(B20&lt;=0,"回収不可",B13/B20)</f>
        <v>1.04062163122114</v>
      </c>
      <c r="C22" s="40" t="s">
        <v>212</v>
      </c>
      <c r="D22" s="6" t="s">
        <v>213</v>
      </c>
    </row>
    <row r="23" customFormat="false" ht="15" hidden="false" customHeight="false" outlineLevel="0" collapsed="false">
      <c r="A23" s="2" t="s">
        <v>214</v>
      </c>
      <c r="B23" s="50" t="n">
        <f aca="false">IF((B19*12+B13)&gt;0,B21/(B19*12+B13),0)</f>
        <v>6.25390074956975</v>
      </c>
      <c r="C23" s="18"/>
      <c r="D23" s="6" t="s">
        <v>215</v>
      </c>
    </row>
    <row r="25" customFormat="false" ht="15" hidden="false" customHeight="false" outlineLevel="0" collapsed="false">
      <c r="A25" s="13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4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19.7" hidden="false" customHeight="false" outlineLevel="0" collapsed="false">
      <c r="A1" s="12" t="s">
        <v>217</v>
      </c>
    </row>
    <row r="2" customFormat="false" ht="15" hidden="false" customHeight="false" outlineLevel="0" collapsed="false">
      <c r="A2" s="13" t="s">
        <v>218</v>
      </c>
    </row>
    <row r="4" customFormat="false" ht="31.5" hidden="false" customHeight="true" outlineLevel="0" collapsed="false">
      <c r="A4" s="15" t="s">
        <v>92</v>
      </c>
      <c r="B4" s="14" t="s">
        <v>219</v>
      </c>
      <c r="C4" s="14" t="s">
        <v>220</v>
      </c>
      <c r="D4" s="14" t="s">
        <v>221</v>
      </c>
      <c r="E4" s="14" t="s">
        <v>222</v>
      </c>
      <c r="F4" s="14" t="s">
        <v>223</v>
      </c>
      <c r="G4" s="14" t="s">
        <v>224</v>
      </c>
    </row>
    <row r="5" customFormat="false" ht="31.5" hidden="false" customHeight="true" outlineLevel="0" collapsed="false">
      <c r="A5" s="18" t="n">
        <v>1</v>
      </c>
      <c r="B5" s="40" t="s">
        <v>225</v>
      </c>
      <c r="C5" s="8" t="s">
        <v>226</v>
      </c>
      <c r="D5" s="6" t="s">
        <v>227</v>
      </c>
      <c r="E5" s="17" t="s">
        <v>228</v>
      </c>
      <c r="F5" s="17" t="s">
        <v>229</v>
      </c>
      <c r="G5" s="4"/>
    </row>
    <row r="6" customFormat="false" ht="31.5" hidden="false" customHeight="true" outlineLevel="0" collapsed="false">
      <c r="A6" s="18" t="n">
        <v>2</v>
      </c>
      <c r="B6" s="40" t="s">
        <v>230</v>
      </c>
      <c r="C6" s="8" t="s">
        <v>231</v>
      </c>
      <c r="D6" s="6" t="s">
        <v>232</v>
      </c>
      <c r="E6" s="17" t="s">
        <v>233</v>
      </c>
      <c r="F6" s="17" t="s">
        <v>234</v>
      </c>
      <c r="G6" s="4"/>
    </row>
    <row r="7" customFormat="false" ht="31.5" hidden="false" customHeight="true" outlineLevel="0" collapsed="false">
      <c r="A7" s="18" t="n">
        <v>3</v>
      </c>
      <c r="B7" s="40" t="s">
        <v>230</v>
      </c>
      <c r="C7" s="8" t="s">
        <v>235</v>
      </c>
      <c r="D7" s="6" t="s">
        <v>236</v>
      </c>
      <c r="E7" s="17" t="s">
        <v>233</v>
      </c>
      <c r="F7" s="17" t="s">
        <v>234</v>
      </c>
      <c r="G7" s="4"/>
    </row>
    <row r="8" customFormat="false" ht="31.5" hidden="false" customHeight="true" outlineLevel="0" collapsed="false">
      <c r="A8" s="18" t="n">
        <v>4</v>
      </c>
      <c r="B8" s="40" t="s">
        <v>230</v>
      </c>
      <c r="C8" s="8" t="s">
        <v>237</v>
      </c>
      <c r="D8" s="6" t="s">
        <v>238</v>
      </c>
      <c r="E8" s="17" t="s">
        <v>233</v>
      </c>
      <c r="F8" s="17" t="s">
        <v>239</v>
      </c>
      <c r="G8" s="4"/>
    </row>
    <row r="9" customFormat="false" ht="31.5" hidden="false" customHeight="true" outlineLevel="0" collapsed="false">
      <c r="A9" s="18" t="n">
        <v>5</v>
      </c>
      <c r="B9" s="40" t="s">
        <v>230</v>
      </c>
      <c r="C9" s="8" t="s">
        <v>240</v>
      </c>
      <c r="D9" s="6" t="s">
        <v>241</v>
      </c>
      <c r="E9" s="17" t="s">
        <v>233</v>
      </c>
      <c r="F9" s="17" t="s">
        <v>239</v>
      </c>
      <c r="G9" s="4"/>
    </row>
    <row r="10" customFormat="false" ht="31.5" hidden="false" customHeight="true" outlineLevel="0" collapsed="false">
      <c r="A10" s="18" t="n">
        <v>6</v>
      </c>
      <c r="B10" s="40" t="s">
        <v>242</v>
      </c>
      <c r="C10" s="8" t="s">
        <v>243</v>
      </c>
      <c r="D10" s="6" t="s">
        <v>244</v>
      </c>
      <c r="E10" s="17" t="s">
        <v>233</v>
      </c>
      <c r="F10" s="17" t="s">
        <v>239</v>
      </c>
      <c r="G10" s="4"/>
    </row>
    <row r="11" customFormat="false" ht="31.5" hidden="false" customHeight="true" outlineLevel="0" collapsed="false">
      <c r="A11" s="18" t="n">
        <v>7</v>
      </c>
      <c r="B11" s="40" t="s">
        <v>245</v>
      </c>
      <c r="C11" s="8" t="s">
        <v>246</v>
      </c>
      <c r="D11" s="3" t="s">
        <v>247</v>
      </c>
      <c r="E11" s="17" t="s">
        <v>233</v>
      </c>
      <c r="F11" s="17" t="s">
        <v>239</v>
      </c>
      <c r="G11" s="4"/>
    </row>
    <row r="12" customFormat="false" ht="31.5" hidden="false" customHeight="true" outlineLevel="0" collapsed="false">
      <c r="A12" s="18" t="n">
        <v>8</v>
      </c>
      <c r="B12" s="40" t="s">
        <v>248</v>
      </c>
      <c r="C12" s="8" t="s">
        <v>249</v>
      </c>
      <c r="D12" s="6" t="s">
        <v>250</v>
      </c>
      <c r="E12" s="17" t="s">
        <v>228</v>
      </c>
      <c r="F12" s="17" t="s">
        <v>251</v>
      </c>
      <c r="G12" s="4"/>
    </row>
    <row r="13" customFormat="false" ht="31.5" hidden="false" customHeight="true" outlineLevel="0" collapsed="false">
      <c r="A13" s="18" t="n">
        <v>9</v>
      </c>
      <c r="B13" s="40" t="s">
        <v>252</v>
      </c>
      <c r="C13" s="8" t="s">
        <v>253</v>
      </c>
      <c r="D13" s="6" t="s">
        <v>254</v>
      </c>
      <c r="E13" s="17" t="s">
        <v>255</v>
      </c>
      <c r="F13" s="17" t="s">
        <v>252</v>
      </c>
      <c r="G13" s="4"/>
    </row>
    <row r="14" customFormat="false" ht="31.5" hidden="false" customHeight="true" outlineLevel="0" collapsed="false">
      <c r="A14" s="18" t="n">
        <v>10</v>
      </c>
      <c r="B14" s="40" t="s">
        <v>256</v>
      </c>
      <c r="C14" s="8" t="s">
        <v>257</v>
      </c>
      <c r="D14" s="6" t="s">
        <v>258</v>
      </c>
      <c r="E14" s="17" t="s">
        <v>255</v>
      </c>
      <c r="F14" s="17" t="s">
        <v>259</v>
      </c>
      <c r="G14" s="4"/>
    </row>
    <row r="16" customFormat="false" ht="15" hidden="false" customHeight="false" outlineLevel="0" collapsed="false">
      <c r="C16" s="2" t="s">
        <v>260</v>
      </c>
      <c r="E16" s="51" t="n">
        <f aca="false">COUNTIF(E5:E14,"確認済")</f>
        <v>6</v>
      </c>
    </row>
    <row r="17" customFormat="false" ht="15" hidden="false" customHeight="false" outlineLevel="0" collapsed="false">
      <c r="C17" s="2" t="s">
        <v>261</v>
      </c>
      <c r="E17" s="51" t="n">
        <f aca="false">COUNTA(E5:E14)-COUNTIF(E5:E14,"対象外")</f>
        <v>10</v>
      </c>
    </row>
    <row r="18" customFormat="false" ht="15" hidden="false" customHeight="false" outlineLevel="0" collapsed="false">
      <c r="C18" s="2" t="s">
        <v>262</v>
      </c>
      <c r="E18" s="52" t="n">
        <f aca="false">IF(E17&gt;0,E16/E17,0)</f>
        <v>0.6</v>
      </c>
    </row>
  </sheetData>
  <dataValidations count="1">
    <dataValidation allowBlank="true" errorStyle="stop" operator="between" showDropDown="false" showErrorMessage="false" showInputMessage="false" sqref="E5:E14" type="list">
      <formula1>"未確認,確認中,確認済,対象外"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52"/>
  </cols>
  <sheetData>
    <row r="1" customFormat="false" ht="19.7" hidden="false" customHeight="false" outlineLevel="0" collapsed="false">
      <c r="A1" s="12" t="s">
        <v>28</v>
      </c>
    </row>
    <row r="2" customFormat="false" ht="15" hidden="false" customHeight="false" outlineLevel="0" collapsed="false">
      <c r="A2" s="13" t="s">
        <v>263</v>
      </c>
    </row>
    <row r="4" customFormat="false" ht="31.5" hidden="false" customHeight="true" outlineLevel="0" collapsed="false">
      <c r="A4" s="14" t="s">
        <v>11</v>
      </c>
      <c r="B4" s="14" t="s">
        <v>264</v>
      </c>
      <c r="C4" s="14" t="s">
        <v>265</v>
      </c>
      <c r="D4" s="14" t="s">
        <v>266</v>
      </c>
      <c r="E4" s="14" t="s">
        <v>267</v>
      </c>
      <c r="F4" s="14" t="s">
        <v>268</v>
      </c>
    </row>
    <row r="5" customFormat="false" ht="15" hidden="false" customHeight="false" outlineLevel="0" collapsed="false">
      <c r="A5" s="8" t="s">
        <v>269</v>
      </c>
      <c r="B5" s="22" t="n">
        <v>0.2</v>
      </c>
      <c r="C5" s="40" t="s">
        <v>270</v>
      </c>
      <c r="D5" s="53" t="n">
        <f aca="false">集計!H13</f>
        <v>0.254491017964072</v>
      </c>
      <c r="E5" s="54" t="str">
        <f aca="false">IF(D5="","-",IF(C5="以上",IF(D5&gt;=B5,"達成","未達"),IF(D5&lt;=B5,"達成","未達")))</f>
        <v>達成</v>
      </c>
      <c r="F5" s="6" t="s">
        <v>271</v>
      </c>
    </row>
    <row r="6" customFormat="false" ht="15" hidden="false" customHeight="false" outlineLevel="0" collapsed="false">
      <c r="A6" s="8" t="s">
        <v>272</v>
      </c>
      <c r="B6" s="55" t="n">
        <v>1.1</v>
      </c>
      <c r="C6" s="40" t="s">
        <v>273</v>
      </c>
      <c r="D6" s="56" t="n">
        <f aca="false">IF(集計!I13&gt;0,集計!J13/集計!I13,"")</f>
        <v>1.07692307692308</v>
      </c>
      <c r="E6" s="54" t="str">
        <f aca="false">IF(D6="","-",IF(C6="以上",IF(D6&gt;=B6,"達成","未達"),IF(D6&lt;=B6,"達成","未達")))</f>
        <v>達成</v>
      </c>
      <c r="F6" s="6" t="s">
        <v>274</v>
      </c>
    </row>
    <row r="7" customFormat="false" ht="15" hidden="false" customHeight="false" outlineLevel="0" collapsed="false">
      <c r="A7" s="8" t="s">
        <v>275</v>
      </c>
      <c r="B7" s="23" t="n">
        <v>0</v>
      </c>
      <c r="C7" s="40" t="s">
        <v>273</v>
      </c>
      <c r="D7" s="57" t="n">
        <f aca="false">集計!L13-集計!K13</f>
        <v>0</v>
      </c>
      <c r="E7" s="54" t="str">
        <f aca="false">IF(D7="","-",IF(C7="以上",IF(D7&gt;=B7,"達成","未達"),IF(D7&lt;=B7,"達成","未達")))</f>
        <v>達成</v>
      </c>
      <c r="F7" s="3" t="s">
        <v>276</v>
      </c>
    </row>
    <row r="8" customFormat="false" ht="15" hidden="false" customHeight="false" outlineLevel="0" collapsed="false">
      <c r="A8" s="8" t="s">
        <v>277</v>
      </c>
      <c r="B8" s="20" t="n">
        <v>4</v>
      </c>
      <c r="C8" s="40" t="s">
        <v>270</v>
      </c>
      <c r="D8" s="58" t="n">
        <f aca="false">アンケート!I11</f>
        <v>4.66666666666667</v>
      </c>
      <c r="E8" s="54" t="str">
        <f aca="false">IF(D8="","-",IF(C8="以上",IF(D8&gt;=B8,"達成","未達"),IF(D8&lt;=B8,"達成","未達")))</f>
        <v>達成</v>
      </c>
      <c r="F8" s="6" t="s">
        <v>278</v>
      </c>
    </row>
    <row r="9" customFormat="false" ht="15" hidden="false" customHeight="false" outlineLevel="0" collapsed="false">
      <c r="A9" s="8" t="s">
        <v>279</v>
      </c>
      <c r="B9" s="22" t="n">
        <v>1</v>
      </c>
      <c r="C9" s="40" t="s">
        <v>270</v>
      </c>
      <c r="D9" s="59" t="n">
        <f aca="false">セキュリティ確認!E18</f>
        <v>0.6</v>
      </c>
      <c r="E9" s="54" t="str">
        <f aca="false">IF(D9="","-",IF(C9="以上",IF(D9&gt;=B9,"達成","未達"),IF(D9&lt;=B9,"達成","未達")))</f>
        <v>未達</v>
      </c>
      <c r="F9" s="6" t="s">
        <v>280</v>
      </c>
    </row>
    <row r="11" customFormat="false" ht="25.5" hidden="false" customHeight="true" outlineLevel="0" collapsed="false">
      <c r="A11" s="60" t="s">
        <v>281</v>
      </c>
      <c r="B11" s="61" t="str">
        <f aca="false">IF(COUNTIF(E5:E9,"達成")=5,"本格展開を推奨",IF(E9="未達","効果は確認できたが、セキュリティ確認完了を条件に対象拡大",IF(COUNTIF(E5:E9,"達成")&gt;=3,"条件付きで対象拡大","継続検証（対象タスク・使い方を見直し）")))</f>
        <v>効果は確認できたが、セキュリティ確認完了を条件に対象拡大</v>
      </c>
      <c r="C11" s="61"/>
      <c r="D11" s="61"/>
      <c r="E11" s="61"/>
      <c r="F11" s="61"/>
    </row>
    <row r="13" customFormat="false" ht="15" hidden="false" customHeight="false" outlineLevel="0" collapsed="false">
      <c r="A13" s="7" t="s">
        <v>282</v>
      </c>
    </row>
    <row r="14" customFormat="false" ht="21.75" hidden="false" customHeight="true" outlineLevel="0" collapsed="false">
      <c r="A14" s="5" t="s">
        <v>283</v>
      </c>
      <c r="B14" s="5"/>
      <c r="C14" s="5"/>
      <c r="D14" s="5"/>
      <c r="E14" s="5"/>
      <c r="F14" s="5"/>
    </row>
    <row r="15" customFormat="false" ht="21.75" hidden="false" customHeight="true" outlineLevel="0" collapsed="false">
      <c r="A15" s="5" t="s">
        <v>284</v>
      </c>
      <c r="B15" s="5"/>
      <c r="C15" s="5"/>
      <c r="D15" s="5"/>
      <c r="E15" s="5"/>
      <c r="F15" s="5"/>
    </row>
    <row r="16" customFormat="false" ht="21.75" hidden="false" customHeight="true" outlineLevel="0" collapsed="false">
      <c r="A16" s="5" t="s">
        <v>285</v>
      </c>
      <c r="B16" s="5"/>
      <c r="C16" s="5"/>
      <c r="D16" s="5"/>
      <c r="E16" s="5"/>
      <c r="F16" s="5"/>
    </row>
    <row r="17" customFormat="false" ht="21.75" hidden="false" customHeight="true" outlineLevel="0" collapsed="false">
      <c r="A17" s="5" t="s">
        <v>286</v>
      </c>
      <c r="B17" s="5"/>
      <c r="C17" s="5"/>
      <c r="D17" s="5"/>
      <c r="E17" s="5"/>
      <c r="F17" s="5"/>
    </row>
    <row r="19" customFormat="false" ht="15" hidden="false" customHeight="false" outlineLevel="0" collapsed="false">
      <c r="A19" s="7" t="s">
        <v>287</v>
      </c>
    </row>
    <row r="20" customFormat="false" ht="31.5" hidden="false" customHeight="true" outlineLevel="0" collapsed="false">
      <c r="A20" s="14" t="s">
        <v>288</v>
      </c>
      <c r="B20" s="14" t="s">
        <v>289</v>
      </c>
      <c r="C20" s="14"/>
      <c r="D20" s="14" t="s">
        <v>290</v>
      </c>
      <c r="E20" s="14" t="s">
        <v>291</v>
      </c>
      <c r="F20" s="14"/>
    </row>
    <row r="21" customFormat="false" ht="15" hidden="false" customHeight="true" outlineLevel="0" collapsed="false">
      <c r="A21" s="41" t="s">
        <v>292</v>
      </c>
      <c r="B21" s="16" t="s">
        <v>293</v>
      </c>
      <c r="C21" s="16"/>
      <c r="D21" s="5" t="s">
        <v>294</v>
      </c>
      <c r="E21" s="5" t="s">
        <v>295</v>
      </c>
      <c r="F21" s="5"/>
    </row>
    <row r="22" customFormat="false" ht="29.85" hidden="false" customHeight="true" outlineLevel="0" collapsed="false">
      <c r="A22" s="41" t="s">
        <v>296</v>
      </c>
      <c r="B22" s="16" t="s">
        <v>297</v>
      </c>
      <c r="C22" s="16"/>
      <c r="D22" s="5" t="s">
        <v>298</v>
      </c>
      <c r="E22" s="5" t="s">
        <v>299</v>
      </c>
      <c r="F22" s="5"/>
    </row>
    <row r="23" customFormat="false" ht="15" hidden="false" customHeight="true" outlineLevel="0" collapsed="false">
      <c r="A23" s="41" t="s">
        <v>300</v>
      </c>
      <c r="B23" s="16" t="s">
        <v>301</v>
      </c>
      <c r="C23" s="16"/>
      <c r="D23" s="5" t="s">
        <v>302</v>
      </c>
      <c r="E23" s="5" t="s">
        <v>303</v>
      </c>
      <c r="F23" s="5"/>
    </row>
  </sheetData>
  <mergeCells count="13">
    <mergeCell ref="B11:F11"/>
    <mergeCell ref="A14:F14"/>
    <mergeCell ref="A15:F15"/>
    <mergeCell ref="A16:F16"/>
    <mergeCell ref="A17:F17"/>
    <mergeCell ref="B20:C20"/>
    <mergeCell ref="E20:F20"/>
    <mergeCell ref="B21:C21"/>
    <mergeCell ref="E21:F21"/>
    <mergeCell ref="B22:C22"/>
    <mergeCell ref="E22:F22"/>
    <mergeCell ref="B23:C23"/>
    <mergeCell ref="E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2026-09-11T06:18:25Z</dcterms:created>
  <dc:creator>openpyxl</dc:creator>
  <dc:description/>
  <dc:language>en-US</dc:language>
  <cp:lastModifiedBy/>
  <dcterms:modified xsi:type="dcterms:W3CDTF">2026-09-11T06:18:27Z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